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.v.nasirov\Desktop\"/>
    </mc:Choice>
  </mc:AlternateContent>
  <bookViews>
    <workbookView xWindow="0" yWindow="0" windowWidth="28800" windowHeight="12330" activeTab="1"/>
  </bookViews>
  <sheets>
    <sheet name="ВСЕ ИМЕНА" sheetId="1" r:id="rId1"/>
    <sheet name="БИОХИМИЯ" sheetId="2" r:id="rId2"/>
    <sheet name="ФРАКЦИИ плазма" sheetId="3" r:id="rId3"/>
    <sheet name="ФРАКЦИИ эритр." sheetId="4" r:id="rId4"/>
    <sheet name="Лист7" sheetId="7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" roundtripDataChecksum="8NGMShvlvhvgNgdy2UB6VAn5FoemzuV+kSjY4jg7mbs="/>
    </ext>
  </extLst>
</workbook>
</file>

<file path=xl/calcChain.xml><?xml version="1.0" encoding="utf-8"?>
<calcChain xmlns="http://schemas.openxmlformats.org/spreadsheetml/2006/main">
  <c r="D54" i="2" l="1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<sst xmlns="http://schemas.openxmlformats.org/spreadsheetml/2006/main" count="658" uniqueCount="331">
  <si>
    <t>БОЛЬНЫЕ (35чел.)</t>
  </si>
  <si>
    <t xml:space="preserve">ТРЕМОР(иной) 16чел. </t>
  </si>
  <si>
    <t>№</t>
  </si>
  <si>
    <t>ФИО</t>
  </si>
  <si>
    <t>Пол</t>
  </si>
  <si>
    <t>Возраст</t>
  </si>
  <si>
    <t>Форма</t>
  </si>
  <si>
    <t>Стадия</t>
  </si>
  <si>
    <t>БП</t>
  </si>
  <si>
    <t>Боброва</t>
  </si>
  <si>
    <t>ж</t>
  </si>
  <si>
    <t>смешанная</t>
  </si>
  <si>
    <t>Жданова</t>
  </si>
  <si>
    <t>Березина</t>
  </si>
  <si>
    <t>Данилова</t>
  </si>
  <si>
    <t>Шакирова</t>
  </si>
  <si>
    <t>Капустина</t>
  </si>
  <si>
    <t>Анисимова</t>
  </si>
  <si>
    <t>Шайдуллина</t>
  </si>
  <si>
    <t>Бредихина</t>
  </si>
  <si>
    <t>дрожательная</t>
  </si>
  <si>
    <t>Базилевских</t>
  </si>
  <si>
    <t>Антипин</t>
  </si>
  <si>
    <t>м</t>
  </si>
  <si>
    <t>акинетико-ригидная</t>
  </si>
  <si>
    <t>Григорьева</t>
  </si>
  <si>
    <t>Антонова</t>
  </si>
  <si>
    <t>Колупаева</t>
  </si>
  <si>
    <t>-</t>
  </si>
  <si>
    <t>Дмитриева</t>
  </si>
  <si>
    <t>Зорина</t>
  </si>
  <si>
    <t>Иванов</t>
  </si>
  <si>
    <t>Лучинкина</t>
  </si>
  <si>
    <t>Журанов</t>
  </si>
  <si>
    <t>Лядова</t>
  </si>
  <si>
    <t>Винник</t>
  </si>
  <si>
    <t>Брагин</t>
  </si>
  <si>
    <t>Захарова</t>
  </si>
  <si>
    <t>Кучеренко</t>
  </si>
  <si>
    <t>Злобина</t>
  </si>
  <si>
    <t>Бушков</t>
  </si>
  <si>
    <t>Вахрушева</t>
  </si>
  <si>
    <t>Крылова</t>
  </si>
  <si>
    <t>Андриянова</t>
  </si>
  <si>
    <t>Арутюнян</t>
  </si>
  <si>
    <t>КОНТРОЛЬ (15чел.)</t>
  </si>
  <si>
    <t>Карманова</t>
  </si>
  <si>
    <t>Азиатцева</t>
  </si>
  <si>
    <t>Кудрина</t>
  </si>
  <si>
    <t>Козельская</t>
  </si>
  <si>
    <t>Богатрырева</t>
  </si>
  <si>
    <t>Кутяшев</t>
  </si>
  <si>
    <t>Бортникова</t>
  </si>
  <si>
    <t>Токарев</t>
  </si>
  <si>
    <t>Колчанова</t>
  </si>
  <si>
    <t>Янова</t>
  </si>
  <si>
    <t>Шайхнурова</t>
  </si>
  <si>
    <t>Юнусов</t>
  </si>
  <si>
    <t>Мадейра</t>
  </si>
  <si>
    <t>Хакимов</t>
  </si>
  <si>
    <t>Розенфельд</t>
  </si>
  <si>
    <t>Щербаков</t>
  </si>
  <si>
    <t>Трусова</t>
  </si>
  <si>
    <t>Чигвинцев</t>
  </si>
  <si>
    <t>Лобыгин</t>
  </si>
  <si>
    <t>Холмогорова</t>
  </si>
  <si>
    <t>Дулин</t>
  </si>
  <si>
    <t>Степанов</t>
  </si>
  <si>
    <t>Власов</t>
  </si>
  <si>
    <t>Перевозчикова</t>
  </si>
  <si>
    <t>Дулина</t>
  </si>
  <si>
    <t>Сорокина</t>
  </si>
  <si>
    <t>Мещанова</t>
  </si>
  <si>
    <t>Волкова</t>
  </si>
  <si>
    <t>Широбокова</t>
  </si>
  <si>
    <t>Савотченко</t>
  </si>
  <si>
    <t>Хабибуллина</t>
  </si>
  <si>
    <t>Шабалина</t>
  </si>
  <si>
    <t>РАННЯЯ</t>
  </si>
  <si>
    <t xml:space="preserve">№ </t>
  </si>
  <si>
    <t xml:space="preserve">Фамилия </t>
  </si>
  <si>
    <t xml:space="preserve">Возраст </t>
  </si>
  <si>
    <t xml:space="preserve">Форма </t>
  </si>
  <si>
    <t xml:space="preserve">Стадия </t>
  </si>
  <si>
    <t>ПОЗДНЯЯ</t>
  </si>
  <si>
    <t>Борисова</t>
  </si>
  <si>
    <t>Городилов</t>
  </si>
  <si>
    <t xml:space="preserve">Злобина </t>
  </si>
  <si>
    <t xml:space="preserve">Волкова </t>
  </si>
  <si>
    <t>Науменко</t>
  </si>
  <si>
    <t>акинетико- ригидная</t>
  </si>
  <si>
    <t>ПОЛ в плазме</t>
  </si>
  <si>
    <t>ПОЛ в мембр. Эритроцитов</t>
  </si>
  <si>
    <t>Лактат</t>
  </si>
  <si>
    <t>Глюкоза</t>
  </si>
  <si>
    <t>Общий белок</t>
  </si>
  <si>
    <t>Мочевина</t>
  </si>
  <si>
    <t>Кортизол</t>
  </si>
  <si>
    <t>Зонулин</t>
  </si>
  <si>
    <t>Холестерин</t>
  </si>
  <si>
    <t>ЭХ</t>
  </si>
  <si>
    <t>ТГ</t>
  </si>
  <si>
    <t>НеЖК</t>
  </si>
  <si>
    <t>ХЛ</t>
  </si>
  <si>
    <t>ФЛ</t>
  </si>
  <si>
    <t>СХ</t>
  </si>
  <si>
    <t>ЭХС</t>
  </si>
  <si>
    <t>НЭЖК</t>
  </si>
  <si>
    <t>СЖК</t>
  </si>
  <si>
    <t>здоров(1)\болен(0)</t>
  </si>
  <si>
    <t>Боброва 1</t>
  </si>
  <si>
    <t>Березина 2</t>
  </si>
  <si>
    <t>Березина 3</t>
  </si>
  <si>
    <t>Анисимова 4</t>
  </si>
  <si>
    <t>Бредихина 5</t>
  </si>
  <si>
    <t>Антипин 6</t>
  </si>
  <si>
    <t>Антонова 7</t>
  </si>
  <si>
    <t>Иванов 8</t>
  </si>
  <si>
    <t>Журанов 9</t>
  </si>
  <si>
    <t>Винник 10</t>
  </si>
  <si>
    <t>Захарова 11</t>
  </si>
  <si>
    <t>Злобина 12</t>
  </si>
  <si>
    <t>Андриянова 13</t>
  </si>
  <si>
    <t>Арутюнян 14</t>
  </si>
  <si>
    <t>Карманова 15</t>
  </si>
  <si>
    <t>Азиатцева 16</t>
  </si>
  <si>
    <t>Козельская 17</t>
  </si>
  <si>
    <t>Кутяшев 18</t>
  </si>
  <si>
    <t>Токарев 19</t>
  </si>
  <si>
    <t>Янова 20</t>
  </si>
  <si>
    <t>Юнусов 21</t>
  </si>
  <si>
    <t>Хакимов 22</t>
  </si>
  <si>
    <t>Щербаков 23</t>
  </si>
  <si>
    <t>Чигвинцев 24</t>
  </si>
  <si>
    <t>Холмогорова 25</t>
  </si>
  <si>
    <t>Степанов 26</t>
  </si>
  <si>
    <t>Перевозчикова 27</t>
  </si>
  <si>
    <t>Сорокина 28</t>
  </si>
  <si>
    <t>Волкова 29</t>
  </si>
  <si>
    <t>Савотченко 30</t>
  </si>
  <si>
    <t>Шабалина 31</t>
  </si>
  <si>
    <t>Арутюнян 32</t>
  </si>
  <si>
    <t>Карманова 33</t>
  </si>
  <si>
    <t>Кутяшев 34</t>
  </si>
  <si>
    <t>Юнусов 35</t>
  </si>
  <si>
    <t>Щербаков 36</t>
  </si>
  <si>
    <t>Холмогорова 37</t>
  </si>
  <si>
    <t>Степанов 38</t>
  </si>
  <si>
    <t>Борисова 39</t>
  </si>
  <si>
    <t>Шакирова 40</t>
  </si>
  <si>
    <t>Шакирова 41</t>
  </si>
  <si>
    <t>Анисимова 42</t>
  </si>
  <si>
    <t>Бредихина 43</t>
  </si>
  <si>
    <t>Антипин 44</t>
  </si>
  <si>
    <t>Антонова 45</t>
  </si>
  <si>
    <t>Городилов 46</t>
  </si>
  <si>
    <t>Иванов 47</t>
  </si>
  <si>
    <t>Винник 48</t>
  </si>
  <si>
    <t>Захарова 49</t>
  </si>
  <si>
    <t>Злобина  50</t>
  </si>
  <si>
    <t>Андриянова 51</t>
  </si>
  <si>
    <t>Азиатцева 52</t>
  </si>
  <si>
    <t>Козельская 53</t>
  </si>
  <si>
    <t>Токарев 54</t>
  </si>
  <si>
    <t>Янова 55</t>
  </si>
  <si>
    <t>Хакимов 56</t>
  </si>
  <si>
    <t>Чигвинцев 57</t>
  </si>
  <si>
    <t>Перевозчикова 58</t>
  </si>
  <si>
    <t>Сорокина 59</t>
  </si>
  <si>
    <t>Волкова  60</t>
  </si>
  <si>
    <t>Савотченко 61</t>
  </si>
  <si>
    <t>Шабалина 62</t>
  </si>
  <si>
    <t>Науменко 63</t>
  </si>
  <si>
    <t>Кудрина 80</t>
  </si>
  <si>
    <t>Богатрырева 81</t>
  </si>
  <si>
    <t>Бортникова 82</t>
  </si>
  <si>
    <t>Колчанова 83</t>
  </si>
  <si>
    <t>Шайхнурова 84</t>
  </si>
  <si>
    <t>Мадейра 85</t>
  </si>
  <si>
    <t>Розенфельд 86</t>
  </si>
  <si>
    <t>Трусова 87</t>
  </si>
  <si>
    <t>Лобыгин 88</t>
  </si>
  <si>
    <t>Дулин 89</t>
  </si>
  <si>
    <t>Власов 90</t>
  </si>
  <si>
    <t>Шакирова 3</t>
  </si>
  <si>
    <t>Березина 39</t>
  </si>
  <si>
    <t>Анисимова 41</t>
  </si>
  <si>
    <t>Бредихина 42</t>
  </si>
  <si>
    <t>Антипин 43</t>
  </si>
  <si>
    <t>Антонова 44</t>
  </si>
  <si>
    <t>Городилов 45</t>
  </si>
  <si>
    <t>Иванов 46</t>
  </si>
  <si>
    <t>Жуланов 47</t>
  </si>
  <si>
    <t>Капустина 64</t>
  </si>
  <si>
    <t>Шайдуллина 65</t>
  </si>
  <si>
    <t>Базилевских 66</t>
  </si>
  <si>
    <t>Григорьева 67</t>
  </si>
  <si>
    <t>Колупаева 68</t>
  </si>
  <si>
    <t>Дмитриева 69</t>
  </si>
  <si>
    <t>Зорина 70</t>
  </si>
  <si>
    <t>Лучинкина 71</t>
  </si>
  <si>
    <t>Лядова 72</t>
  </si>
  <si>
    <t>Кудрина 73</t>
  </si>
  <si>
    <t>Богатрырева 74</t>
  </si>
  <si>
    <t>Бортникова 75</t>
  </si>
  <si>
    <t>Колчанова 76</t>
  </si>
  <si>
    <t>Шайхнурова 77</t>
  </si>
  <si>
    <t>Мадейра 78</t>
  </si>
  <si>
    <t>Розенфельд 79</t>
  </si>
  <si>
    <t>Трусова 80</t>
  </si>
  <si>
    <t>Лобыгин 81</t>
  </si>
  <si>
    <t>Дулин 82</t>
  </si>
  <si>
    <t>Власов 83</t>
  </si>
  <si>
    <t>Дулина 84</t>
  </si>
  <si>
    <t xml:space="preserve"> 32</t>
  </si>
  <si>
    <t xml:space="preserve"> 33</t>
  </si>
  <si>
    <t>Арутюнян 34</t>
  </si>
  <si>
    <t>Карманова 35</t>
  </si>
  <si>
    <t>Кутяшев 36</t>
  </si>
  <si>
    <t>Юнусов 37</t>
  </si>
  <si>
    <t>Щербаков 38</t>
  </si>
  <si>
    <t>Холмогорова 39</t>
  </si>
  <si>
    <t>Степанов 40</t>
  </si>
  <si>
    <t>Борисова 41</t>
  </si>
  <si>
    <t>Березина 42</t>
  </si>
  <si>
    <t>Шакирова 43</t>
  </si>
  <si>
    <t>Анисимова 44</t>
  </si>
  <si>
    <t>Бредихина 45</t>
  </si>
  <si>
    <t>Антипин 46</t>
  </si>
  <si>
    <t>Антонова 47</t>
  </si>
  <si>
    <t>Городилов 48</t>
  </si>
  <si>
    <t>Иванов 49</t>
  </si>
  <si>
    <t>Винник 50</t>
  </si>
  <si>
    <t>Захарова 51</t>
  </si>
  <si>
    <t>Злобина  52</t>
  </si>
  <si>
    <t>Андриянова 53</t>
  </si>
  <si>
    <t>Азиатцева 54</t>
  </si>
  <si>
    <t>Козельская 55</t>
  </si>
  <si>
    <t>Токарев 56</t>
  </si>
  <si>
    <t>Янова 57</t>
  </si>
  <si>
    <t>Хакимов 58</t>
  </si>
  <si>
    <t>Чигвинцев 59</t>
  </si>
  <si>
    <t>Перевозчикова 60</t>
  </si>
  <si>
    <t>Сорокина 61</t>
  </si>
  <si>
    <t>Волкова  62</t>
  </si>
  <si>
    <t>Савотченко 63</t>
  </si>
  <si>
    <t>Шабалина 64</t>
  </si>
  <si>
    <t>Науменко 65</t>
  </si>
  <si>
    <t>Капустина 68</t>
  </si>
  <si>
    <t>Шайдуллина 69</t>
  </si>
  <si>
    <t>Базилевских 70</t>
  </si>
  <si>
    <t>Григорьева 71</t>
  </si>
  <si>
    <t>Колупаева 72</t>
  </si>
  <si>
    <t>Дмитриева 73</t>
  </si>
  <si>
    <t>Зорина 74</t>
  </si>
  <si>
    <t>Лучинкина 75</t>
  </si>
  <si>
    <t>Лядова 76</t>
  </si>
  <si>
    <t>Кудрина 82</t>
  </si>
  <si>
    <t>Богатрырева 83</t>
  </si>
  <si>
    <t>Бортникова 84</t>
  </si>
  <si>
    <t>Колчанова 85</t>
  </si>
  <si>
    <t>Шайхнурова 86</t>
  </si>
  <si>
    <t>Мадейра 87</t>
  </si>
  <si>
    <t>Розенфельд 88</t>
  </si>
  <si>
    <t>Трусова 89</t>
  </si>
  <si>
    <t>Лобыгин 90</t>
  </si>
  <si>
    <t>Дулин 91</t>
  </si>
  <si>
    <t>Власов 92</t>
  </si>
  <si>
    <t>Дулина 93</t>
  </si>
  <si>
    <t>Арутюнян 33</t>
  </si>
  <si>
    <t>Карманова 34</t>
  </si>
  <si>
    <t>Кутяшев 35</t>
  </si>
  <si>
    <t>Юнусов 36</t>
  </si>
  <si>
    <t>Щербаков 37</t>
  </si>
  <si>
    <t>Холмогорова 38</t>
  </si>
  <si>
    <t>Степанов 39</t>
  </si>
  <si>
    <t>Березина 41</t>
  </si>
  <si>
    <t>Шакирова 42</t>
  </si>
  <si>
    <t>Анисимова 43</t>
  </si>
  <si>
    <t>Бредихина 44</t>
  </si>
  <si>
    <t>Антипин 45</t>
  </si>
  <si>
    <t>Антонова 46</t>
  </si>
  <si>
    <t>Городилов 47</t>
  </si>
  <si>
    <t>Иванов 48</t>
  </si>
  <si>
    <t>Винник 49</t>
  </si>
  <si>
    <t>Захарова 50</t>
  </si>
  <si>
    <t>Злобина  51</t>
  </si>
  <si>
    <t>Андриянова 52</t>
  </si>
  <si>
    <t>Азиатцева 53</t>
  </si>
  <si>
    <t>Козельская 54</t>
  </si>
  <si>
    <t>Токарев 55</t>
  </si>
  <si>
    <t>Янова 56</t>
  </si>
  <si>
    <t>Хакимов 57</t>
  </si>
  <si>
    <t>Чигвинцев 58</t>
  </si>
  <si>
    <t>Перевозчикова 59</t>
  </si>
  <si>
    <t>Сорокина 60</t>
  </si>
  <si>
    <t>Волкова  61</t>
  </si>
  <si>
    <t>Савотченко 62</t>
  </si>
  <si>
    <t>Шабалина 63</t>
  </si>
  <si>
    <t>Науменко 64</t>
  </si>
  <si>
    <t>Жданова 65</t>
  </si>
  <si>
    <t>Данилова 66</t>
  </si>
  <si>
    <t>Капустина 67</t>
  </si>
  <si>
    <t>Шайдуллина 68</t>
  </si>
  <si>
    <t>Базилевских 69</t>
  </si>
  <si>
    <t>Григорьева 70</t>
  </si>
  <si>
    <t>Колупаева 71</t>
  </si>
  <si>
    <t>Дмитриева 72</t>
  </si>
  <si>
    <t>Зорина 73</t>
  </si>
  <si>
    <t>Лучинкина 74</t>
  </si>
  <si>
    <t>Лядова 75</t>
  </si>
  <si>
    <t>Брагин 76</t>
  </si>
  <si>
    <t>Кучеренко 77</t>
  </si>
  <si>
    <t>Бушков 78</t>
  </si>
  <si>
    <t>Вахрушева 79</t>
  </si>
  <si>
    <t>Крылова 80</t>
  </si>
  <si>
    <t>Кудрина 81</t>
  </si>
  <si>
    <t>Богатрырева 82</t>
  </si>
  <si>
    <t>Бортникова 83</t>
  </si>
  <si>
    <t>Колчанова 84</t>
  </si>
  <si>
    <t>Шайхнурова 85</t>
  </si>
  <si>
    <t>Мадейра 86</t>
  </si>
  <si>
    <t>Розенфельд 87</t>
  </si>
  <si>
    <t>Трусова 88</t>
  </si>
  <si>
    <t>Лобыгин 89</t>
  </si>
  <si>
    <t>Дулин 90</t>
  </si>
  <si>
    <t>Власов 91</t>
  </si>
  <si>
    <t>Дулина 92</t>
  </si>
  <si>
    <t>Мещанова 93</t>
  </si>
  <si>
    <t>Широбокова 94</t>
  </si>
  <si>
    <t>Хабибуллина 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</si>
</sst>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0.0000"/>
    <numFmt numFmtId="166" formatCode="0.000000"/>
    <numFmt numFmtId="167" formatCode="0.00000"/>
    <numFmt numFmtId="168" formatCode="0.000"/>
  </numFmts>
  <fonts count="17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Calibri"/>
    </font>
    <font>
      <sz val="10"/>
      <color rgb="FF000000"/>
      <name val="Arial"/>
    </font>
    <font>
      <sz val="10"/>
      <color rgb="FFC00000"/>
      <name val="Arial"/>
    </font>
    <font>
      <sz val="10"/>
      <color theme="1"/>
      <name val="Arial"/>
    </font>
    <font>
      <b/>
      <sz val="10"/>
      <color rgb="FFC00000"/>
      <name val="Arial"/>
    </font>
    <font>
      <sz val="11"/>
      <color rgb="FF3266D5"/>
      <name val="Inconsolata"/>
    </font>
    <font>
      <sz val="11"/>
      <color rgb="FFFF0000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1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68">
    <xf numFmtId="0" fontId="0" fillId="0" borderId="0" xfId="0" applyFont="1" applyAlignment="1"/>
    <xf numFmtId="0" fontId="5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>
      <alignment horizontal="center"/>
    </xf>
    <xf numFmtId="0" fontId="7" fillId="0" borderId="0" xfId="0" applyFont="1" applyAlignment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4" borderId="0" xfId="0" applyFont="1" applyFill="1" applyAlignment="1"/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9" fillId="0" borderId="0" xfId="0" applyFont="1" applyAlignment="1">
      <alignment horizontal="center" vertical="top"/>
    </xf>
    <xf numFmtId="1" fontId="10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168" fontId="10" fillId="0" borderId="0" xfId="0" applyNumberFormat="1" applyFont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0" fontId="5" fillId="0" borderId="0" xfId="0" applyFont="1" applyAlignment="1"/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5" borderId="1" xfId="0" applyFont="1" applyFill="1" applyBorder="1" applyAlignment="1">
      <alignment vertical="top"/>
    </xf>
    <xf numFmtId="0" fontId="13" fillId="5" borderId="1" xfId="0" applyFont="1" applyFill="1" applyBorder="1" applyAlignment="1">
      <alignment horizontal="left"/>
    </xf>
    <xf numFmtId="0" fontId="5" fillId="0" borderId="0" xfId="0" applyFont="1" applyAlignment="1">
      <alignment wrapText="1"/>
    </xf>
    <xf numFmtId="1" fontId="5" fillId="0" borderId="0" xfId="0" applyNumberFormat="1" applyFont="1"/>
    <xf numFmtId="0" fontId="6" fillId="0" borderId="0" xfId="0" applyFont="1"/>
    <xf numFmtId="0" fontId="8" fillId="2" borderId="1" xfId="0" applyFont="1" applyFill="1" applyBorder="1" applyAlignment="1">
      <alignment horizontal="center"/>
    </xf>
    <xf numFmtId="0" fontId="5" fillId="6" borderId="0" xfId="0" applyFont="1" applyFill="1" applyAlignment="1"/>
    <xf numFmtId="0" fontId="5" fillId="6" borderId="0" xfId="0" applyFont="1" applyFill="1" applyAlignment="1">
      <alignment horizontal="center"/>
    </xf>
    <xf numFmtId="9" fontId="15" fillId="0" borderId="0" xfId="1" applyFont="1" applyAlignment="1">
      <alignment horizontal="right" vertical="center"/>
    </xf>
    <xf numFmtId="2" fontId="5" fillId="0" borderId="0" xfId="1" applyNumberFormat="1" applyFont="1" applyAlignment="1">
      <alignment horizontal="right"/>
    </xf>
    <xf numFmtId="0" fontId="4" fillId="0" borderId="0" xfId="0" applyFont="1" applyAlignment="1"/>
    <xf numFmtId="0" fontId="0" fillId="0" borderId="0" xfId="0" applyFont="1" applyFill="1" applyAlignment="1"/>
    <xf numFmtId="0" fontId="0" fillId="0" borderId="0" xfId="0" applyFill="1"/>
    <xf numFmtId="2" fontId="0" fillId="0" borderId="0" xfId="0" applyNumberFormat="1" applyFill="1"/>
    <xf numFmtId="164" fontId="0" fillId="0" borderId="0" xfId="0" applyNumberFormat="1" applyFill="1"/>
    <xf numFmtId="0" fontId="0" fillId="0" borderId="0" xfId="0" applyFill="1" applyAlignment="1">
      <alignment wrapText="1"/>
    </xf>
    <xf numFmtId="164" fontId="0" fillId="0" borderId="0" xfId="0" applyNumberFormat="1" applyFill="1" applyAlignment="1">
      <alignment wrapText="1"/>
    </xf>
    <xf numFmtId="164" fontId="14" fillId="0" borderId="0" xfId="0" applyNumberFormat="1" applyFont="1" applyFill="1"/>
    <xf numFmtId="168" fontId="9" fillId="0" borderId="0" xfId="0" applyNumberFormat="1" applyFont="1" applyFill="1" applyAlignment="1">
      <alignment horizontal="right" vertical="center"/>
    </xf>
    <xf numFmtId="0" fontId="3" fillId="0" borderId="0" xfId="0" applyFont="1" applyFill="1"/>
    <xf numFmtId="0" fontId="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Font="1" applyFill="1" applyAlignment="1">
      <alignment wrapText="1"/>
    </xf>
    <xf numFmtId="0" fontId="2" fillId="0" borderId="0" xfId="0" applyFont="1" applyAlignment="1"/>
    <xf numFmtId="165" fontId="9" fillId="0" borderId="0" xfId="0" applyNumberFormat="1" applyFont="1" applyAlignment="1">
      <alignment horizontal="center" vertical="center"/>
    </xf>
    <xf numFmtId="168" fontId="9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6" fillId="0" borderId="0" xfId="0" applyFont="1" applyAlignment="1"/>
    <xf numFmtId="0" fontId="15" fillId="0" borderId="0" xfId="0" applyFont="1" applyAlignment="1">
      <alignment horizontal="center" vertical="top"/>
    </xf>
    <xf numFmtId="0" fontId="5" fillId="0" borderId="0" xfId="0" applyFont="1" applyFill="1" applyAlignment="1"/>
    <xf numFmtId="0" fontId="1" fillId="0" borderId="0" xfId="0" applyFont="1" applyAlignme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00"/>
  <sheetViews>
    <sheetView workbookViewId="0">
      <selection activeCell="R5" sqref="R5"/>
    </sheetView>
  </sheetViews>
  <sheetFormatPr defaultColWidth="14.42578125" defaultRowHeight="15" customHeight="1"/>
  <cols>
    <col min="1" max="1" width="8.7109375" customWidth="1"/>
    <col min="2" max="2" width="14.42578125" customWidth="1"/>
    <col min="3" max="4" width="8.7109375" customWidth="1"/>
    <col min="5" max="5" width="18.7109375" customWidth="1"/>
    <col min="6" max="6" width="8.7109375" customWidth="1"/>
  </cols>
  <sheetData>
    <row r="2" spans="1:14">
      <c r="A2" s="1"/>
      <c r="B2" s="42" t="s">
        <v>0</v>
      </c>
      <c r="C2" s="43"/>
      <c r="D2" s="3"/>
      <c r="E2" s="3"/>
      <c r="F2" s="3"/>
      <c r="I2" s="42" t="s">
        <v>1</v>
      </c>
      <c r="J2" s="43"/>
      <c r="K2" s="3"/>
      <c r="L2" s="3"/>
      <c r="M2" s="3"/>
    </row>
    <row r="3" spans="1:14">
      <c r="A3" s="2" t="s">
        <v>8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32"/>
      <c r="I3" s="1" t="s">
        <v>2</v>
      </c>
      <c r="J3" s="1" t="s">
        <v>3</v>
      </c>
      <c r="K3" s="1" t="s">
        <v>4</v>
      </c>
      <c r="L3" s="1"/>
      <c r="M3" s="1"/>
      <c r="N3" s="1"/>
    </row>
    <row r="4" spans="1:14">
      <c r="B4" s="1">
        <v>1</v>
      </c>
      <c r="C4" s="1" t="s">
        <v>9</v>
      </c>
      <c r="D4" s="3" t="s">
        <v>10</v>
      </c>
      <c r="E4" s="3">
        <v>62</v>
      </c>
      <c r="F4" s="3" t="s">
        <v>11</v>
      </c>
      <c r="G4" s="3">
        <v>3</v>
      </c>
      <c r="H4" s="1">
        <v>0</v>
      </c>
      <c r="J4" s="4" t="s">
        <v>12</v>
      </c>
      <c r="K4" s="4" t="s">
        <v>10</v>
      </c>
      <c r="L4">
        <v>0</v>
      </c>
    </row>
    <row r="5" spans="1:14">
      <c r="B5" s="1">
        <v>2</v>
      </c>
      <c r="C5" s="1" t="s">
        <v>13</v>
      </c>
      <c r="D5" s="3" t="s">
        <v>10</v>
      </c>
      <c r="E5" s="3">
        <v>70</v>
      </c>
      <c r="F5" s="3" t="s">
        <v>11</v>
      </c>
      <c r="G5" s="3">
        <v>3</v>
      </c>
      <c r="H5" s="1">
        <v>0</v>
      </c>
      <c r="J5" s="4" t="s">
        <v>14</v>
      </c>
      <c r="K5" s="4" t="s">
        <v>10</v>
      </c>
      <c r="L5">
        <v>0</v>
      </c>
    </row>
    <row r="6" spans="1:14">
      <c r="B6" s="1">
        <v>3</v>
      </c>
      <c r="C6" s="1" t="s">
        <v>15</v>
      </c>
      <c r="D6" s="3" t="s">
        <v>10</v>
      </c>
      <c r="E6" s="3">
        <v>67</v>
      </c>
      <c r="F6" s="3" t="s">
        <v>11</v>
      </c>
      <c r="G6" s="3">
        <v>3</v>
      </c>
      <c r="H6" s="1">
        <v>0</v>
      </c>
      <c r="I6" s="3">
        <v>36</v>
      </c>
      <c r="J6" s="1" t="s">
        <v>16</v>
      </c>
      <c r="K6" s="4" t="s">
        <v>10</v>
      </c>
      <c r="L6">
        <v>0</v>
      </c>
    </row>
    <row r="7" spans="1:14">
      <c r="B7" s="1">
        <v>4</v>
      </c>
      <c r="C7" s="1" t="s">
        <v>17</v>
      </c>
      <c r="D7" s="3" t="s">
        <v>10</v>
      </c>
      <c r="E7" s="3">
        <v>74</v>
      </c>
      <c r="F7" s="3" t="s">
        <v>11</v>
      </c>
      <c r="G7" s="3">
        <v>3</v>
      </c>
      <c r="H7" s="1">
        <v>0</v>
      </c>
      <c r="I7" s="3">
        <v>37</v>
      </c>
      <c r="J7" s="1" t="s">
        <v>18</v>
      </c>
      <c r="K7" s="4" t="s">
        <v>10</v>
      </c>
      <c r="L7">
        <v>0</v>
      </c>
    </row>
    <row r="8" spans="1:14">
      <c r="B8" s="1">
        <v>5</v>
      </c>
      <c r="C8" s="1" t="s">
        <v>19</v>
      </c>
      <c r="D8" s="3" t="s">
        <v>10</v>
      </c>
      <c r="E8" s="3">
        <v>60</v>
      </c>
      <c r="F8" s="3" t="s">
        <v>20</v>
      </c>
      <c r="G8" s="3">
        <v>3</v>
      </c>
      <c r="H8" s="1">
        <v>0</v>
      </c>
      <c r="I8" s="3">
        <v>38</v>
      </c>
      <c r="J8" s="1" t="s">
        <v>21</v>
      </c>
      <c r="K8" s="4" t="s">
        <v>10</v>
      </c>
      <c r="L8">
        <v>0</v>
      </c>
    </row>
    <row r="9" spans="1:14">
      <c r="B9" s="1">
        <v>6</v>
      </c>
      <c r="C9" s="1" t="s">
        <v>22</v>
      </c>
      <c r="D9" s="3" t="s">
        <v>23</v>
      </c>
      <c r="E9" s="3">
        <v>70</v>
      </c>
      <c r="F9" s="3" t="s">
        <v>24</v>
      </c>
      <c r="G9" s="3">
        <v>3</v>
      </c>
      <c r="H9" s="1">
        <v>0</v>
      </c>
      <c r="I9" s="3">
        <v>39</v>
      </c>
      <c r="J9" s="1" t="s">
        <v>25</v>
      </c>
      <c r="K9" s="4" t="s">
        <v>10</v>
      </c>
      <c r="L9">
        <v>0</v>
      </c>
    </row>
    <row r="10" spans="1:14">
      <c r="B10" s="1">
        <v>7</v>
      </c>
      <c r="C10" s="1" t="s">
        <v>26</v>
      </c>
      <c r="D10" s="3" t="s">
        <v>10</v>
      </c>
      <c r="E10" s="3">
        <v>79</v>
      </c>
      <c r="F10" s="3" t="s">
        <v>11</v>
      </c>
      <c r="G10" s="3">
        <v>3</v>
      </c>
      <c r="H10" s="1">
        <v>0</v>
      </c>
      <c r="I10" s="3">
        <v>40</v>
      </c>
      <c r="J10" s="1" t="s">
        <v>27</v>
      </c>
      <c r="K10" s="4" t="s">
        <v>10</v>
      </c>
      <c r="L10">
        <v>0</v>
      </c>
    </row>
    <row r="11" spans="1:14">
      <c r="B11" s="4">
        <v>8</v>
      </c>
      <c r="C11" s="4" t="s">
        <v>28</v>
      </c>
      <c r="D11" s="4" t="s">
        <v>28</v>
      </c>
      <c r="E11" s="4" t="s">
        <v>28</v>
      </c>
      <c r="F11" s="4" t="s">
        <v>28</v>
      </c>
      <c r="G11" s="4" t="s">
        <v>28</v>
      </c>
      <c r="H11" s="1">
        <v>0</v>
      </c>
      <c r="I11" s="3">
        <v>41</v>
      </c>
      <c r="J11" s="1" t="s">
        <v>29</v>
      </c>
      <c r="K11" s="4" t="s">
        <v>10</v>
      </c>
      <c r="L11">
        <v>0</v>
      </c>
    </row>
    <row r="12" spans="1:14">
      <c r="B12" s="4">
        <v>9</v>
      </c>
      <c r="C12" s="4" t="s">
        <v>28</v>
      </c>
      <c r="D12" s="4" t="s">
        <v>28</v>
      </c>
      <c r="E12" s="4" t="s">
        <v>28</v>
      </c>
      <c r="F12" s="4" t="s">
        <v>28</v>
      </c>
      <c r="G12" s="4" t="s">
        <v>28</v>
      </c>
      <c r="H12" s="1">
        <v>0</v>
      </c>
      <c r="I12" s="3">
        <v>42</v>
      </c>
      <c r="J12" s="1" t="s">
        <v>30</v>
      </c>
      <c r="K12" s="4" t="s">
        <v>10</v>
      </c>
      <c r="L12">
        <v>0</v>
      </c>
    </row>
    <row r="13" spans="1:14">
      <c r="B13" s="1">
        <v>10</v>
      </c>
      <c r="C13" s="1" t="s">
        <v>31</v>
      </c>
      <c r="D13" s="3" t="s">
        <v>23</v>
      </c>
      <c r="E13" s="3">
        <v>66</v>
      </c>
      <c r="F13" s="3" t="s">
        <v>11</v>
      </c>
      <c r="G13" s="3">
        <v>3</v>
      </c>
      <c r="H13" s="1">
        <v>0</v>
      </c>
      <c r="I13" s="3">
        <v>43</v>
      </c>
      <c r="J13" s="1" t="s">
        <v>32</v>
      </c>
      <c r="K13" s="4" t="s">
        <v>10</v>
      </c>
      <c r="L13">
        <v>0</v>
      </c>
    </row>
    <row r="14" spans="1:14">
      <c r="B14" s="1">
        <v>11</v>
      </c>
      <c r="C14" s="1" t="s">
        <v>33</v>
      </c>
      <c r="D14" s="3" t="s">
        <v>23</v>
      </c>
      <c r="E14" s="3">
        <v>54</v>
      </c>
      <c r="F14" s="3" t="s">
        <v>24</v>
      </c>
      <c r="G14" s="3">
        <v>3</v>
      </c>
      <c r="H14" s="1">
        <v>0</v>
      </c>
      <c r="I14" s="3">
        <v>44</v>
      </c>
      <c r="J14" s="1" t="s">
        <v>34</v>
      </c>
      <c r="K14" s="4" t="s">
        <v>10</v>
      </c>
      <c r="L14">
        <v>0</v>
      </c>
    </row>
    <row r="15" spans="1:14">
      <c r="B15" s="1">
        <v>12</v>
      </c>
      <c r="C15" s="1" t="s">
        <v>35</v>
      </c>
      <c r="D15" s="3" t="s">
        <v>10</v>
      </c>
      <c r="E15" s="3">
        <v>61</v>
      </c>
      <c r="F15" s="3" t="s">
        <v>11</v>
      </c>
      <c r="G15" s="3">
        <v>3</v>
      </c>
      <c r="H15" s="1">
        <v>0</v>
      </c>
      <c r="J15" s="4" t="s">
        <v>36</v>
      </c>
      <c r="K15" s="4" t="s">
        <v>23</v>
      </c>
      <c r="L15">
        <v>0</v>
      </c>
    </row>
    <row r="16" spans="1:14">
      <c r="B16" s="1">
        <v>13</v>
      </c>
      <c r="C16" s="1" t="s">
        <v>37</v>
      </c>
      <c r="D16" s="3" t="s">
        <v>10</v>
      </c>
      <c r="E16" s="3">
        <v>73</v>
      </c>
      <c r="F16" s="3" t="s">
        <v>11</v>
      </c>
      <c r="G16" s="3">
        <v>3</v>
      </c>
      <c r="H16" s="1">
        <v>0</v>
      </c>
      <c r="J16" s="4" t="s">
        <v>38</v>
      </c>
      <c r="K16" s="4" t="s">
        <v>10</v>
      </c>
      <c r="L16">
        <v>0</v>
      </c>
    </row>
    <row r="17" spans="2:12">
      <c r="B17" s="1">
        <v>14</v>
      </c>
      <c r="C17" s="1" t="s">
        <v>39</v>
      </c>
      <c r="D17" s="3" t="s">
        <v>10</v>
      </c>
      <c r="E17" s="3">
        <v>66</v>
      </c>
      <c r="F17" s="3" t="s">
        <v>11</v>
      </c>
      <c r="G17" s="3">
        <v>3</v>
      </c>
      <c r="H17" s="1">
        <v>0</v>
      </c>
      <c r="J17" s="4" t="s">
        <v>40</v>
      </c>
      <c r="K17" s="4" t="s">
        <v>23</v>
      </c>
      <c r="L17">
        <v>0</v>
      </c>
    </row>
    <row r="18" spans="2:12">
      <c r="B18" s="4">
        <v>15</v>
      </c>
      <c r="C18" s="4" t="s">
        <v>28</v>
      </c>
      <c r="D18" s="4" t="s">
        <v>28</v>
      </c>
      <c r="E18" s="4" t="s">
        <v>28</v>
      </c>
      <c r="F18" s="4" t="s">
        <v>28</v>
      </c>
      <c r="G18" s="4" t="s">
        <v>28</v>
      </c>
      <c r="H18" s="1">
        <v>0</v>
      </c>
      <c r="J18" s="4" t="s">
        <v>41</v>
      </c>
      <c r="K18" s="4" t="s">
        <v>10</v>
      </c>
      <c r="L18">
        <v>0</v>
      </c>
    </row>
    <row r="19" spans="2:12">
      <c r="B19" s="4">
        <v>16</v>
      </c>
      <c r="C19" s="4" t="s">
        <v>28</v>
      </c>
      <c r="D19" s="4" t="s">
        <v>28</v>
      </c>
      <c r="E19" s="4" t="s">
        <v>28</v>
      </c>
      <c r="F19" s="4" t="s">
        <v>28</v>
      </c>
      <c r="G19" s="4" t="s">
        <v>28</v>
      </c>
      <c r="H19" s="1">
        <v>0</v>
      </c>
      <c r="J19" s="4" t="s">
        <v>42</v>
      </c>
      <c r="K19" s="4" t="s">
        <v>10</v>
      </c>
      <c r="L19">
        <v>0</v>
      </c>
    </row>
    <row r="20" spans="2:12">
      <c r="B20" s="1">
        <v>17</v>
      </c>
      <c r="C20" s="1" t="s">
        <v>43</v>
      </c>
      <c r="D20" s="3" t="s">
        <v>10</v>
      </c>
      <c r="E20" s="3">
        <v>71</v>
      </c>
      <c r="F20" s="3" t="s">
        <v>11</v>
      </c>
      <c r="G20" s="3">
        <v>3</v>
      </c>
      <c r="H20" s="1">
        <v>0</v>
      </c>
    </row>
    <row r="21" spans="2:12" ht="15.75" customHeight="1">
      <c r="B21" s="1">
        <v>18</v>
      </c>
      <c r="C21" s="1" t="s">
        <v>44</v>
      </c>
      <c r="D21" s="3" t="s">
        <v>10</v>
      </c>
      <c r="E21" s="3">
        <v>70</v>
      </c>
      <c r="F21" s="3" t="s">
        <v>20</v>
      </c>
      <c r="G21" s="3">
        <v>2</v>
      </c>
      <c r="H21" s="1">
        <v>0</v>
      </c>
      <c r="I21" s="42" t="s">
        <v>45</v>
      </c>
      <c r="J21" s="43"/>
      <c r="K21" s="3"/>
      <c r="L21" s="3"/>
    </row>
    <row r="22" spans="2:12" ht="15.75" customHeight="1">
      <c r="B22" s="1">
        <v>19</v>
      </c>
      <c r="C22" s="1" t="s">
        <v>46</v>
      </c>
      <c r="D22" s="3" t="s">
        <v>10</v>
      </c>
      <c r="E22" s="3">
        <v>62</v>
      </c>
      <c r="F22" s="3" t="s">
        <v>20</v>
      </c>
      <c r="G22" s="3">
        <v>2</v>
      </c>
      <c r="H22" s="1">
        <v>0</v>
      </c>
      <c r="I22" s="1" t="s">
        <v>2</v>
      </c>
      <c r="J22" s="1" t="s">
        <v>3</v>
      </c>
      <c r="K22" s="1" t="s">
        <v>4</v>
      </c>
      <c r="L22" s="1"/>
    </row>
    <row r="23" spans="2:12" ht="15.75" customHeight="1">
      <c r="B23" s="1">
        <v>20</v>
      </c>
      <c r="C23" s="1" t="s">
        <v>47</v>
      </c>
      <c r="D23" s="3" t="s">
        <v>10</v>
      </c>
      <c r="E23" s="3">
        <v>65</v>
      </c>
      <c r="F23" s="3" t="s">
        <v>11</v>
      </c>
      <c r="G23" s="3">
        <v>4</v>
      </c>
      <c r="H23" s="1">
        <v>0</v>
      </c>
      <c r="J23" s="4" t="s">
        <v>48</v>
      </c>
      <c r="K23" s="4" t="s">
        <v>10</v>
      </c>
      <c r="L23">
        <v>1</v>
      </c>
    </row>
    <row r="24" spans="2:12" ht="15.75" customHeight="1">
      <c r="B24" s="1">
        <v>21</v>
      </c>
      <c r="C24" s="1" t="s">
        <v>49</v>
      </c>
      <c r="D24" s="3" t="s">
        <v>10</v>
      </c>
      <c r="E24" s="3">
        <v>72</v>
      </c>
      <c r="F24" s="3" t="s">
        <v>11</v>
      </c>
      <c r="G24" s="3">
        <v>3</v>
      </c>
      <c r="H24" s="1">
        <v>0</v>
      </c>
      <c r="J24" s="4" t="s">
        <v>50</v>
      </c>
      <c r="K24" s="4" t="s">
        <v>10</v>
      </c>
      <c r="L24">
        <v>1</v>
      </c>
    </row>
    <row r="25" spans="2:12" ht="15.75" customHeight="1">
      <c r="B25" s="1">
        <v>22</v>
      </c>
      <c r="C25" s="1" t="s">
        <v>51</v>
      </c>
      <c r="D25" s="3" t="s">
        <v>23</v>
      </c>
      <c r="E25" s="3">
        <v>72</v>
      </c>
      <c r="F25" s="3" t="s">
        <v>20</v>
      </c>
      <c r="G25" s="3">
        <v>2</v>
      </c>
      <c r="H25" s="1">
        <v>0</v>
      </c>
      <c r="J25" s="4" t="s">
        <v>52</v>
      </c>
      <c r="K25" s="4" t="s">
        <v>10</v>
      </c>
      <c r="L25">
        <v>1</v>
      </c>
    </row>
    <row r="26" spans="2:12" ht="15.75" customHeight="1">
      <c r="B26" s="1">
        <v>23</v>
      </c>
      <c r="C26" s="1" t="s">
        <v>53</v>
      </c>
      <c r="D26" s="3" t="s">
        <v>23</v>
      </c>
      <c r="E26" s="3">
        <v>68</v>
      </c>
      <c r="F26" s="3" t="s">
        <v>11</v>
      </c>
      <c r="G26" s="3">
        <v>4</v>
      </c>
      <c r="H26" s="1">
        <v>0</v>
      </c>
      <c r="J26" s="4" t="s">
        <v>54</v>
      </c>
      <c r="K26" s="4" t="s">
        <v>10</v>
      </c>
      <c r="L26">
        <v>1</v>
      </c>
    </row>
    <row r="27" spans="2:12" ht="15.75" customHeight="1">
      <c r="B27" s="1">
        <v>24</v>
      </c>
      <c r="C27" s="1" t="s">
        <v>55</v>
      </c>
      <c r="D27" s="3" t="s">
        <v>10</v>
      </c>
      <c r="E27" s="3">
        <v>70</v>
      </c>
      <c r="F27" s="3" t="s">
        <v>11</v>
      </c>
      <c r="G27" s="3">
        <v>3</v>
      </c>
      <c r="H27" s="1">
        <v>0</v>
      </c>
      <c r="J27" s="4" t="s">
        <v>56</v>
      </c>
      <c r="K27" s="4" t="s">
        <v>10</v>
      </c>
      <c r="L27">
        <v>1</v>
      </c>
    </row>
    <row r="28" spans="2:12" ht="15.75" customHeight="1">
      <c r="B28" s="1">
        <v>25</v>
      </c>
      <c r="C28" s="1" t="s">
        <v>57</v>
      </c>
      <c r="D28" s="3" t="s">
        <v>23</v>
      </c>
      <c r="E28" s="3">
        <v>79</v>
      </c>
      <c r="F28" s="3" t="s">
        <v>20</v>
      </c>
      <c r="G28" s="3">
        <v>2</v>
      </c>
      <c r="H28" s="1">
        <v>0</v>
      </c>
      <c r="J28" s="4" t="s">
        <v>58</v>
      </c>
      <c r="K28" s="4" t="s">
        <v>10</v>
      </c>
      <c r="L28">
        <v>1</v>
      </c>
    </row>
    <row r="29" spans="2:12" ht="15.75" customHeight="1">
      <c r="B29" s="1">
        <v>26</v>
      </c>
      <c r="C29" s="1" t="s">
        <v>59</v>
      </c>
      <c r="D29" s="3" t="s">
        <v>23</v>
      </c>
      <c r="E29" s="3">
        <v>63</v>
      </c>
      <c r="F29" s="3" t="s">
        <v>11</v>
      </c>
      <c r="G29" s="3">
        <v>3</v>
      </c>
      <c r="H29" s="1">
        <v>0</v>
      </c>
      <c r="J29" s="4" t="s">
        <v>60</v>
      </c>
      <c r="K29" s="4" t="s">
        <v>10</v>
      </c>
      <c r="L29">
        <v>1</v>
      </c>
    </row>
    <row r="30" spans="2:12" ht="15.75" customHeight="1">
      <c r="B30" s="1">
        <v>27</v>
      </c>
      <c r="C30" s="1" t="s">
        <v>61</v>
      </c>
      <c r="D30" s="3" t="s">
        <v>23</v>
      </c>
      <c r="E30" s="3">
        <v>62</v>
      </c>
      <c r="F30" s="3" t="s">
        <v>11</v>
      </c>
      <c r="G30" s="3">
        <v>2</v>
      </c>
      <c r="H30" s="1">
        <v>0</v>
      </c>
      <c r="J30" s="4" t="s">
        <v>62</v>
      </c>
      <c r="K30" s="4" t="s">
        <v>10</v>
      </c>
      <c r="L30">
        <v>1</v>
      </c>
    </row>
    <row r="31" spans="2:12" ht="15.75" customHeight="1">
      <c r="B31" s="1">
        <v>28</v>
      </c>
      <c r="C31" s="1" t="s">
        <v>63</v>
      </c>
      <c r="D31" s="3" t="s">
        <v>23</v>
      </c>
      <c r="E31" s="3">
        <v>56</v>
      </c>
      <c r="F31" s="3" t="s">
        <v>11</v>
      </c>
      <c r="G31" s="3">
        <v>3</v>
      </c>
      <c r="H31" s="1">
        <v>0</v>
      </c>
      <c r="J31" s="4" t="s">
        <v>64</v>
      </c>
      <c r="K31" s="4" t="s">
        <v>23</v>
      </c>
      <c r="L31">
        <v>1</v>
      </c>
    </row>
    <row r="32" spans="2:12" ht="15.75" customHeight="1">
      <c r="B32" s="1">
        <v>29</v>
      </c>
      <c r="C32" s="1" t="s">
        <v>65</v>
      </c>
      <c r="D32" s="3" t="s">
        <v>10</v>
      </c>
      <c r="E32" s="3">
        <v>70</v>
      </c>
      <c r="F32" s="3" t="s">
        <v>11</v>
      </c>
      <c r="G32" s="3">
        <v>2</v>
      </c>
      <c r="H32" s="1">
        <v>0</v>
      </c>
      <c r="J32" s="4" t="s">
        <v>66</v>
      </c>
      <c r="K32" s="4" t="s">
        <v>23</v>
      </c>
      <c r="L32">
        <v>1</v>
      </c>
    </row>
    <row r="33" spans="2:12" ht="15.75" customHeight="1">
      <c r="B33" s="1">
        <v>30</v>
      </c>
      <c r="C33" s="1" t="s">
        <v>67</v>
      </c>
      <c r="D33" s="3" t="s">
        <v>23</v>
      </c>
      <c r="E33" s="3">
        <v>63</v>
      </c>
      <c r="F33" s="3" t="s">
        <v>24</v>
      </c>
      <c r="G33" s="3">
        <v>2</v>
      </c>
      <c r="H33" s="1">
        <v>0</v>
      </c>
      <c r="J33" s="4" t="s">
        <v>68</v>
      </c>
      <c r="K33" s="4" t="s">
        <v>23</v>
      </c>
      <c r="L33">
        <v>1</v>
      </c>
    </row>
    <row r="34" spans="2:12" ht="15.75" customHeight="1">
      <c r="B34" s="1">
        <v>31</v>
      </c>
      <c r="C34" s="1" t="s">
        <v>69</v>
      </c>
      <c r="D34" s="3" t="s">
        <v>10</v>
      </c>
      <c r="E34" s="3">
        <v>66</v>
      </c>
      <c r="F34" s="3" t="s">
        <v>11</v>
      </c>
      <c r="G34" s="3">
        <v>3</v>
      </c>
      <c r="H34" s="1">
        <v>0</v>
      </c>
      <c r="J34" s="4" t="s">
        <v>70</v>
      </c>
      <c r="K34" s="4" t="s">
        <v>10</v>
      </c>
      <c r="L34">
        <v>1</v>
      </c>
    </row>
    <row r="35" spans="2:12" ht="15.75" customHeight="1">
      <c r="B35" s="1">
        <v>32</v>
      </c>
      <c r="C35" s="1" t="s">
        <v>71</v>
      </c>
      <c r="D35" s="3" t="s">
        <v>10</v>
      </c>
      <c r="E35" s="3">
        <v>66</v>
      </c>
      <c r="F35" s="3" t="s">
        <v>11</v>
      </c>
      <c r="G35" s="3">
        <v>3</v>
      </c>
      <c r="H35" s="1">
        <v>0</v>
      </c>
      <c r="J35" s="4" t="s">
        <v>72</v>
      </c>
      <c r="K35" s="4" t="s">
        <v>10</v>
      </c>
      <c r="L35">
        <v>1</v>
      </c>
    </row>
    <row r="36" spans="2:12" ht="15.75" customHeight="1">
      <c r="B36" s="1">
        <v>33</v>
      </c>
      <c r="C36" s="1" t="s">
        <v>73</v>
      </c>
      <c r="D36" s="3" t="s">
        <v>10</v>
      </c>
      <c r="E36" s="3">
        <v>71</v>
      </c>
      <c r="F36" s="3" t="s">
        <v>11</v>
      </c>
      <c r="G36" s="3">
        <v>3</v>
      </c>
      <c r="H36" s="1">
        <v>0</v>
      </c>
      <c r="J36" s="4" t="s">
        <v>74</v>
      </c>
      <c r="K36" s="4" t="s">
        <v>10</v>
      </c>
      <c r="L36">
        <v>1</v>
      </c>
    </row>
    <row r="37" spans="2:12" ht="15.75" customHeight="1">
      <c r="B37" s="1">
        <v>34</v>
      </c>
      <c r="C37" s="1" t="s">
        <v>75</v>
      </c>
      <c r="D37" s="3" t="s">
        <v>10</v>
      </c>
      <c r="E37" s="3">
        <v>64</v>
      </c>
      <c r="F37" s="3" t="s">
        <v>11</v>
      </c>
      <c r="G37" s="3">
        <v>3</v>
      </c>
      <c r="H37" s="1">
        <v>0</v>
      </c>
      <c r="J37" s="4" t="s">
        <v>76</v>
      </c>
      <c r="K37" s="4" t="s">
        <v>10</v>
      </c>
      <c r="L37">
        <v>1</v>
      </c>
    </row>
    <row r="38" spans="2:12" ht="15.75" customHeight="1">
      <c r="B38" s="1">
        <v>35</v>
      </c>
      <c r="C38" s="1" t="s">
        <v>77</v>
      </c>
      <c r="D38" s="3" t="s">
        <v>10</v>
      </c>
      <c r="E38" s="3">
        <v>72</v>
      </c>
      <c r="F38" s="3" t="s">
        <v>24</v>
      </c>
      <c r="G38" s="3">
        <v>4</v>
      </c>
      <c r="H38" s="1">
        <v>0</v>
      </c>
    </row>
    <row r="39" spans="2:12" ht="15.75" customHeight="1">
      <c r="B39" s="1"/>
      <c r="H39" s="1"/>
    </row>
    <row r="40" spans="2:12" ht="15.75" customHeight="1">
      <c r="B40" s="1"/>
      <c r="H40" s="1"/>
    </row>
    <row r="41" spans="2:12" ht="15.75" customHeight="1">
      <c r="B41" s="5"/>
      <c r="C41" s="6" t="s">
        <v>78</v>
      </c>
      <c r="D41" s="7"/>
      <c r="E41" s="7"/>
      <c r="F41" s="7"/>
      <c r="G41" s="7"/>
      <c r="H41" s="1"/>
    </row>
    <row r="42" spans="2:12" ht="15.75" customHeight="1">
      <c r="B42" s="8" t="s">
        <v>79</v>
      </c>
      <c r="C42" s="6" t="s">
        <v>80</v>
      </c>
      <c r="D42" s="6" t="s">
        <v>4</v>
      </c>
      <c r="E42" s="6" t="s">
        <v>81</v>
      </c>
      <c r="F42" s="6" t="s">
        <v>82</v>
      </c>
      <c r="G42" s="6" t="s">
        <v>83</v>
      </c>
      <c r="H42" s="1">
        <v>0</v>
      </c>
    </row>
    <row r="43" spans="2:12" ht="15.75" customHeight="1">
      <c r="B43" s="9">
        <v>18</v>
      </c>
      <c r="C43" s="10" t="s">
        <v>44</v>
      </c>
      <c r="D43" s="10" t="s">
        <v>10</v>
      </c>
      <c r="E43" s="10">
        <v>70</v>
      </c>
      <c r="F43" s="10" t="s">
        <v>20</v>
      </c>
      <c r="G43" s="10">
        <v>2</v>
      </c>
      <c r="H43" s="1">
        <v>0</v>
      </c>
    </row>
    <row r="44" spans="2:12" ht="15.75" customHeight="1">
      <c r="B44" s="9">
        <v>19</v>
      </c>
      <c r="C44" s="10" t="s">
        <v>46</v>
      </c>
      <c r="D44" s="10" t="s">
        <v>10</v>
      </c>
      <c r="E44" s="10">
        <v>62</v>
      </c>
      <c r="F44" s="10" t="s">
        <v>20</v>
      </c>
      <c r="G44" s="10">
        <v>2</v>
      </c>
      <c r="H44" s="1">
        <v>0</v>
      </c>
    </row>
    <row r="45" spans="2:12" ht="15.75" customHeight="1">
      <c r="B45" s="9">
        <v>22</v>
      </c>
      <c r="C45" s="10" t="s">
        <v>51</v>
      </c>
      <c r="D45" s="10" t="s">
        <v>23</v>
      </c>
      <c r="E45" s="10">
        <v>72</v>
      </c>
      <c r="F45" s="10" t="s">
        <v>20</v>
      </c>
      <c r="G45" s="10">
        <v>2</v>
      </c>
      <c r="H45" s="1">
        <v>0</v>
      </c>
    </row>
    <row r="46" spans="2:12" ht="15.75" customHeight="1">
      <c r="B46" s="9">
        <v>25</v>
      </c>
      <c r="C46" s="10" t="s">
        <v>57</v>
      </c>
      <c r="D46" s="10" t="s">
        <v>23</v>
      </c>
      <c r="E46" s="10">
        <v>79</v>
      </c>
      <c r="F46" s="10" t="s">
        <v>20</v>
      </c>
      <c r="G46" s="10">
        <v>2</v>
      </c>
      <c r="H46" s="1">
        <v>0</v>
      </c>
    </row>
    <row r="47" spans="2:12" ht="15.75" customHeight="1">
      <c r="B47" s="9">
        <v>27</v>
      </c>
      <c r="C47" s="10" t="s">
        <v>61</v>
      </c>
      <c r="D47" s="10" t="s">
        <v>23</v>
      </c>
      <c r="E47" s="10">
        <v>62</v>
      </c>
      <c r="F47" s="10" t="s">
        <v>11</v>
      </c>
      <c r="G47" s="10">
        <v>2</v>
      </c>
      <c r="H47" s="1">
        <v>0</v>
      </c>
    </row>
    <row r="48" spans="2:12" ht="15.75" customHeight="1">
      <c r="B48" s="9">
        <v>29</v>
      </c>
      <c r="C48" s="10" t="s">
        <v>65</v>
      </c>
      <c r="D48" s="10" t="s">
        <v>10</v>
      </c>
      <c r="E48" s="10">
        <v>70</v>
      </c>
      <c r="F48" s="10" t="s">
        <v>11</v>
      </c>
      <c r="G48" s="10">
        <v>2</v>
      </c>
      <c r="H48" s="1">
        <v>0</v>
      </c>
    </row>
    <row r="49" spans="2:8" ht="15.75" customHeight="1">
      <c r="B49" s="9">
        <v>30</v>
      </c>
      <c r="C49" s="10" t="s">
        <v>67</v>
      </c>
      <c r="D49" s="10" t="s">
        <v>23</v>
      </c>
      <c r="E49" s="10">
        <v>63</v>
      </c>
      <c r="F49" s="10" t="s">
        <v>24</v>
      </c>
      <c r="G49" s="10">
        <v>2</v>
      </c>
      <c r="H49" s="1">
        <v>0</v>
      </c>
    </row>
    <row r="50" spans="2:8" ht="15.75" customHeight="1">
      <c r="B50" s="1"/>
      <c r="H50" s="1"/>
    </row>
    <row r="51" spans="2:8" ht="15.75" customHeight="1">
      <c r="H51" s="1"/>
    </row>
    <row r="52" spans="2:8" ht="15.75" customHeight="1">
      <c r="B52" s="7"/>
      <c r="C52" s="6" t="s">
        <v>84</v>
      </c>
      <c r="D52" s="7"/>
      <c r="E52" s="7"/>
      <c r="F52" s="7"/>
      <c r="G52" s="7"/>
      <c r="H52" s="1"/>
    </row>
    <row r="53" spans="2:8" ht="15.75" customHeight="1">
      <c r="B53" s="6" t="s">
        <v>79</v>
      </c>
      <c r="C53" s="6" t="s">
        <v>80</v>
      </c>
      <c r="D53" s="6" t="s">
        <v>4</v>
      </c>
      <c r="E53" s="6" t="s">
        <v>81</v>
      </c>
      <c r="F53" s="6" t="s">
        <v>82</v>
      </c>
      <c r="G53" s="6" t="s">
        <v>83</v>
      </c>
      <c r="H53" s="1">
        <v>0</v>
      </c>
    </row>
    <row r="54" spans="2:8" ht="15.75" customHeight="1">
      <c r="B54" s="10">
        <v>1</v>
      </c>
      <c r="C54" s="10" t="s">
        <v>85</v>
      </c>
      <c r="D54" s="10" t="s">
        <v>10</v>
      </c>
      <c r="E54" s="10">
        <v>62</v>
      </c>
      <c r="F54" s="10" t="s">
        <v>11</v>
      </c>
      <c r="G54" s="10">
        <v>3</v>
      </c>
      <c r="H54" s="1">
        <v>0</v>
      </c>
    </row>
    <row r="55" spans="2:8" ht="15.75" customHeight="1">
      <c r="B55" s="10">
        <v>2</v>
      </c>
      <c r="C55" s="10" t="s">
        <v>13</v>
      </c>
      <c r="D55" s="10" t="s">
        <v>10</v>
      </c>
      <c r="E55" s="10">
        <v>70</v>
      </c>
      <c r="F55" s="10" t="s">
        <v>11</v>
      </c>
      <c r="G55" s="10">
        <v>3</v>
      </c>
      <c r="H55" s="1">
        <v>0</v>
      </c>
    </row>
    <row r="56" spans="2:8" ht="15.75" customHeight="1">
      <c r="B56" s="10">
        <v>3</v>
      </c>
      <c r="C56" s="10" t="s">
        <v>15</v>
      </c>
      <c r="D56" s="10" t="s">
        <v>10</v>
      </c>
      <c r="E56" s="10">
        <v>67</v>
      </c>
      <c r="F56" s="10" t="s">
        <v>11</v>
      </c>
      <c r="G56" s="10">
        <v>3</v>
      </c>
      <c r="H56" s="1">
        <v>0</v>
      </c>
    </row>
    <row r="57" spans="2:8" ht="15.75" customHeight="1">
      <c r="B57" s="10">
        <v>4</v>
      </c>
      <c r="C57" s="10" t="s">
        <v>17</v>
      </c>
      <c r="D57" s="10" t="s">
        <v>10</v>
      </c>
      <c r="E57" s="10">
        <v>74</v>
      </c>
      <c r="F57" s="10" t="s">
        <v>11</v>
      </c>
      <c r="G57" s="10">
        <v>3</v>
      </c>
      <c r="H57" s="1">
        <v>0</v>
      </c>
    </row>
    <row r="58" spans="2:8" ht="15.75" customHeight="1">
      <c r="B58" s="10">
        <v>5</v>
      </c>
      <c r="C58" s="10" t="s">
        <v>19</v>
      </c>
      <c r="D58" s="10" t="s">
        <v>10</v>
      </c>
      <c r="E58" s="10">
        <v>60</v>
      </c>
      <c r="F58" s="10" t="s">
        <v>20</v>
      </c>
      <c r="G58" s="10">
        <v>3</v>
      </c>
      <c r="H58" s="1">
        <v>0</v>
      </c>
    </row>
    <row r="59" spans="2:8" ht="15.75" customHeight="1">
      <c r="B59" s="10">
        <v>6</v>
      </c>
      <c r="C59" s="10" t="s">
        <v>22</v>
      </c>
      <c r="D59" s="10" t="s">
        <v>23</v>
      </c>
      <c r="E59" s="10">
        <v>70</v>
      </c>
      <c r="F59" s="10" t="s">
        <v>24</v>
      </c>
      <c r="G59" s="10">
        <v>3</v>
      </c>
      <c r="H59" s="1">
        <v>0</v>
      </c>
    </row>
    <row r="60" spans="2:8" ht="15.75" customHeight="1">
      <c r="B60" s="10">
        <v>7</v>
      </c>
      <c r="C60" s="10" t="s">
        <v>26</v>
      </c>
      <c r="D60" s="10" t="s">
        <v>10</v>
      </c>
      <c r="E60" s="10">
        <v>79</v>
      </c>
      <c r="F60" s="10" t="s">
        <v>11</v>
      </c>
      <c r="G60" s="10">
        <v>3</v>
      </c>
      <c r="H60" s="1">
        <v>0</v>
      </c>
    </row>
    <row r="61" spans="2:8" ht="15.75" customHeight="1">
      <c r="B61" s="10">
        <v>9</v>
      </c>
      <c r="C61" s="10" t="s">
        <v>86</v>
      </c>
      <c r="D61" s="10" t="s">
        <v>23</v>
      </c>
      <c r="E61" s="10">
        <v>73</v>
      </c>
      <c r="F61" s="10" t="s">
        <v>24</v>
      </c>
      <c r="G61" s="10">
        <v>3</v>
      </c>
      <c r="H61" s="1">
        <v>0</v>
      </c>
    </row>
    <row r="62" spans="2:8" ht="15.75" customHeight="1">
      <c r="B62" s="10">
        <v>10</v>
      </c>
      <c r="C62" s="10" t="s">
        <v>31</v>
      </c>
      <c r="D62" s="10" t="s">
        <v>23</v>
      </c>
      <c r="E62" s="10">
        <v>66</v>
      </c>
      <c r="F62" s="10" t="s">
        <v>11</v>
      </c>
      <c r="G62" s="10">
        <v>3</v>
      </c>
      <c r="H62" s="1">
        <v>0</v>
      </c>
    </row>
    <row r="63" spans="2:8" ht="15.75" customHeight="1">
      <c r="B63" s="10">
        <v>12</v>
      </c>
      <c r="C63" s="10" t="s">
        <v>35</v>
      </c>
      <c r="D63" s="10" t="s">
        <v>10</v>
      </c>
      <c r="E63" s="10">
        <v>0.61</v>
      </c>
      <c r="F63" s="10" t="s">
        <v>11</v>
      </c>
      <c r="G63" s="10">
        <v>3</v>
      </c>
      <c r="H63" s="1">
        <v>0</v>
      </c>
    </row>
    <row r="64" spans="2:8" ht="15.75" customHeight="1">
      <c r="B64" s="10">
        <v>13</v>
      </c>
      <c r="C64" s="10" t="s">
        <v>37</v>
      </c>
      <c r="D64" s="10" t="s">
        <v>10</v>
      </c>
      <c r="E64" s="10">
        <v>73</v>
      </c>
      <c r="F64" s="10" t="s">
        <v>11</v>
      </c>
      <c r="G64" s="10">
        <v>3</v>
      </c>
      <c r="H64" s="1">
        <v>0</v>
      </c>
    </row>
    <row r="65" spans="2:8" ht="15.75" customHeight="1">
      <c r="B65" s="10">
        <v>14</v>
      </c>
      <c r="C65" s="10" t="s">
        <v>87</v>
      </c>
      <c r="D65" s="10" t="s">
        <v>10</v>
      </c>
      <c r="E65" s="10">
        <v>66</v>
      </c>
      <c r="F65" s="10" t="s">
        <v>11</v>
      </c>
      <c r="G65" s="10">
        <v>3</v>
      </c>
      <c r="H65" s="1">
        <v>0</v>
      </c>
    </row>
    <row r="66" spans="2:8" ht="15.75" customHeight="1">
      <c r="B66" s="10">
        <v>17</v>
      </c>
      <c r="C66" s="10" t="s">
        <v>43</v>
      </c>
      <c r="D66" s="10" t="s">
        <v>10</v>
      </c>
      <c r="E66" s="10">
        <v>71</v>
      </c>
      <c r="F66" s="10" t="s">
        <v>11</v>
      </c>
      <c r="G66" s="10">
        <v>3</v>
      </c>
      <c r="H66" s="1">
        <v>0</v>
      </c>
    </row>
    <row r="67" spans="2:8" ht="15.75" customHeight="1">
      <c r="B67" s="10">
        <v>20</v>
      </c>
      <c r="C67" s="10" t="s">
        <v>47</v>
      </c>
      <c r="D67" s="10" t="s">
        <v>10</v>
      </c>
      <c r="E67" s="10">
        <v>65</v>
      </c>
      <c r="F67" s="10" t="s">
        <v>11</v>
      </c>
      <c r="G67" s="10">
        <v>4</v>
      </c>
      <c r="H67" s="1">
        <v>0</v>
      </c>
    </row>
    <row r="68" spans="2:8" ht="15.75" customHeight="1">
      <c r="B68" s="10">
        <v>21</v>
      </c>
      <c r="C68" s="10" t="s">
        <v>49</v>
      </c>
      <c r="D68" s="10" t="s">
        <v>10</v>
      </c>
      <c r="E68" s="10">
        <v>72</v>
      </c>
      <c r="F68" s="10" t="s">
        <v>11</v>
      </c>
      <c r="G68" s="10">
        <v>3</v>
      </c>
      <c r="H68" s="1">
        <v>0</v>
      </c>
    </row>
    <row r="69" spans="2:8" ht="15.75" customHeight="1">
      <c r="B69" s="10">
        <v>23</v>
      </c>
      <c r="C69" s="10" t="s">
        <v>53</v>
      </c>
      <c r="D69" s="10" t="s">
        <v>23</v>
      </c>
      <c r="E69" s="10">
        <v>68</v>
      </c>
      <c r="F69" s="10" t="s">
        <v>11</v>
      </c>
      <c r="G69" s="10">
        <v>4</v>
      </c>
      <c r="H69" s="1">
        <v>0</v>
      </c>
    </row>
    <row r="70" spans="2:8" ht="15.75" customHeight="1">
      <c r="B70" s="10">
        <v>24</v>
      </c>
      <c r="C70" s="10" t="s">
        <v>55</v>
      </c>
      <c r="D70" s="10" t="s">
        <v>10</v>
      </c>
      <c r="E70" s="10">
        <v>70</v>
      </c>
      <c r="F70" s="10" t="s">
        <v>11</v>
      </c>
      <c r="G70" s="10">
        <v>3</v>
      </c>
      <c r="H70" s="1">
        <v>0</v>
      </c>
    </row>
    <row r="71" spans="2:8" ht="15.75" customHeight="1">
      <c r="B71" s="10">
        <v>26</v>
      </c>
      <c r="C71" s="10" t="s">
        <v>59</v>
      </c>
      <c r="D71" s="10" t="s">
        <v>23</v>
      </c>
      <c r="E71" s="10">
        <v>63</v>
      </c>
      <c r="F71" s="10" t="s">
        <v>11</v>
      </c>
      <c r="G71" s="10">
        <v>3</v>
      </c>
      <c r="H71" s="1">
        <v>0</v>
      </c>
    </row>
    <row r="72" spans="2:8" ht="15.75" customHeight="1">
      <c r="B72" s="10">
        <v>28</v>
      </c>
      <c r="C72" s="10" t="s">
        <v>63</v>
      </c>
      <c r="D72" s="10" t="s">
        <v>23</v>
      </c>
      <c r="E72" s="10">
        <v>56</v>
      </c>
      <c r="F72" s="10" t="s">
        <v>11</v>
      </c>
      <c r="G72" s="10">
        <v>3</v>
      </c>
      <c r="H72" s="1">
        <v>0</v>
      </c>
    </row>
    <row r="73" spans="2:8" ht="15.75" customHeight="1">
      <c r="B73" s="10">
        <v>31</v>
      </c>
      <c r="C73" s="10" t="s">
        <v>69</v>
      </c>
      <c r="D73" s="10" t="s">
        <v>10</v>
      </c>
      <c r="E73" s="10">
        <v>66</v>
      </c>
      <c r="F73" s="10" t="s">
        <v>11</v>
      </c>
      <c r="G73" s="10">
        <v>3</v>
      </c>
      <c r="H73" s="1">
        <v>0</v>
      </c>
    </row>
    <row r="74" spans="2:8" ht="15.75" customHeight="1">
      <c r="B74" s="10">
        <v>32</v>
      </c>
      <c r="C74" s="10" t="s">
        <v>71</v>
      </c>
      <c r="D74" s="10" t="s">
        <v>10</v>
      </c>
      <c r="E74" s="10">
        <v>66</v>
      </c>
      <c r="F74" s="10" t="s">
        <v>11</v>
      </c>
      <c r="G74" s="10">
        <v>3</v>
      </c>
      <c r="H74" s="1">
        <v>0</v>
      </c>
    </row>
    <row r="75" spans="2:8" ht="15.75" customHeight="1">
      <c r="B75" s="10">
        <v>33</v>
      </c>
      <c r="C75" s="10" t="s">
        <v>88</v>
      </c>
      <c r="D75" s="10" t="s">
        <v>10</v>
      </c>
      <c r="E75" s="10">
        <v>71</v>
      </c>
      <c r="F75" s="10" t="s">
        <v>11</v>
      </c>
      <c r="G75" s="10">
        <v>3</v>
      </c>
      <c r="H75" s="1">
        <v>0</v>
      </c>
    </row>
    <row r="76" spans="2:8" ht="15.75" customHeight="1">
      <c r="B76" s="10">
        <v>34</v>
      </c>
      <c r="C76" s="10" t="s">
        <v>75</v>
      </c>
      <c r="D76" s="10" t="s">
        <v>10</v>
      </c>
      <c r="E76" s="10">
        <v>64</v>
      </c>
      <c r="F76" s="10" t="s">
        <v>11</v>
      </c>
      <c r="G76" s="10">
        <v>3</v>
      </c>
      <c r="H76" s="1">
        <v>0</v>
      </c>
    </row>
    <row r="77" spans="2:8" ht="15.75" customHeight="1">
      <c r="B77" s="10">
        <v>35</v>
      </c>
      <c r="C77" s="10" t="s">
        <v>77</v>
      </c>
      <c r="D77" s="10" t="s">
        <v>10</v>
      </c>
      <c r="E77" s="10">
        <v>72</v>
      </c>
      <c r="F77" s="10" t="s">
        <v>24</v>
      </c>
      <c r="G77" s="10">
        <v>4</v>
      </c>
      <c r="H77" s="1">
        <v>0</v>
      </c>
    </row>
    <row r="78" spans="2:8" ht="15.75" customHeight="1">
      <c r="B78" s="10">
        <v>36</v>
      </c>
      <c r="C78" s="10" t="s">
        <v>89</v>
      </c>
      <c r="D78" s="10" t="s">
        <v>10</v>
      </c>
      <c r="E78" s="10">
        <v>80</v>
      </c>
      <c r="F78" s="10" t="s">
        <v>90</v>
      </c>
      <c r="G78" s="10">
        <v>4</v>
      </c>
      <c r="H78" s="1">
        <v>0</v>
      </c>
    </row>
    <row r="79" spans="2:8" ht="15.75" customHeight="1"/>
    <row r="80" spans="2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976"/>
  <sheetViews>
    <sheetView tabSelected="1" topLeftCell="A45" zoomScale="85" zoomScaleNormal="85" workbookViewId="0">
      <selection activeCell="O72" sqref="O72"/>
    </sheetView>
  </sheetViews>
  <sheetFormatPr defaultColWidth="14.42578125" defaultRowHeight="15" customHeight="1"/>
  <cols>
    <col min="1" max="5" width="14.42578125" customWidth="1"/>
  </cols>
  <sheetData>
    <row r="1" spans="1:12">
      <c r="A1" s="59" t="s">
        <v>2</v>
      </c>
      <c r="B1" s="1" t="s">
        <v>3</v>
      </c>
      <c r="C1" s="11" t="s">
        <v>91</v>
      </c>
      <c r="D1" s="12" t="s">
        <v>92</v>
      </c>
      <c r="E1" s="14" t="s">
        <v>93</v>
      </c>
      <c r="F1" s="14" t="s">
        <v>94</v>
      </c>
      <c r="G1" s="14" t="s">
        <v>95</v>
      </c>
      <c r="H1" s="14" t="s">
        <v>96</v>
      </c>
      <c r="I1" s="14" t="s">
        <v>97</v>
      </c>
      <c r="J1" s="14" t="s">
        <v>98</v>
      </c>
      <c r="K1" s="14" t="s">
        <v>99</v>
      </c>
      <c r="L1" s="67" t="s">
        <v>109</v>
      </c>
    </row>
    <row r="2" spans="1:12">
      <c r="A2">
        <v>1</v>
      </c>
      <c r="B2" t="s">
        <v>111</v>
      </c>
      <c r="C2" s="9">
        <v>2.0499999999999998</v>
      </c>
      <c r="D2" s="13">
        <f>(0.11*10^6*4)/(1.56*10^5*0.1)</f>
        <v>28.205128205128204</v>
      </c>
      <c r="E2" s="15">
        <v>7.6</v>
      </c>
      <c r="F2" s="15">
        <v>8</v>
      </c>
      <c r="G2" s="15">
        <v>41.5</v>
      </c>
      <c r="H2" s="15">
        <v>15.26</v>
      </c>
      <c r="I2" s="15">
        <v>361.28</v>
      </c>
      <c r="J2" s="15">
        <v>0.37071428571428577</v>
      </c>
      <c r="K2" s="15">
        <v>4.9000000000000004</v>
      </c>
      <c r="L2">
        <v>0</v>
      </c>
    </row>
    <row r="3" spans="1:12">
      <c r="A3">
        <v>2</v>
      </c>
      <c r="B3" t="s">
        <v>184</v>
      </c>
      <c r="C3" s="9">
        <v>3.58</v>
      </c>
      <c r="D3" s="13">
        <f t="shared" ref="D3:D5" si="0">(0.1*10^6*4)/(1.56*10^5*0.1)</f>
        <v>25.641025641025642</v>
      </c>
      <c r="E3" s="15">
        <v>7.6</v>
      </c>
      <c r="F3" s="15">
        <v>4.7</v>
      </c>
      <c r="G3" s="15">
        <v>65</v>
      </c>
      <c r="H3" s="15">
        <v>10.9</v>
      </c>
      <c r="I3" s="15">
        <v>404.13</v>
      </c>
      <c r="J3" s="15">
        <v>0.37071428571428577</v>
      </c>
      <c r="K3" s="15">
        <v>2</v>
      </c>
      <c r="L3">
        <v>0</v>
      </c>
    </row>
    <row r="4" spans="1:12">
      <c r="A4">
        <v>3</v>
      </c>
      <c r="B4" t="s">
        <v>113</v>
      </c>
      <c r="C4" s="9">
        <v>1.03</v>
      </c>
      <c r="D4" s="13">
        <f t="shared" si="0"/>
        <v>25.641025641025642</v>
      </c>
      <c r="E4" s="15">
        <v>5.2</v>
      </c>
      <c r="F4" s="15">
        <v>6</v>
      </c>
      <c r="G4" s="15">
        <v>44.1</v>
      </c>
      <c r="H4" s="15">
        <v>10.9</v>
      </c>
      <c r="I4" s="15">
        <v>235.23</v>
      </c>
      <c r="J4" s="15">
        <v>0.62200000000000011</v>
      </c>
      <c r="K4" s="15">
        <v>4.4000000000000004</v>
      </c>
      <c r="L4">
        <v>0</v>
      </c>
    </row>
    <row r="5" spans="1:12">
      <c r="A5">
        <v>4</v>
      </c>
      <c r="B5" t="s">
        <v>114</v>
      </c>
      <c r="C5" s="10">
        <v>2.0499999999999998</v>
      </c>
      <c r="D5" s="13">
        <f t="shared" si="0"/>
        <v>25.641025641025642</v>
      </c>
      <c r="E5" s="15">
        <v>8.4</v>
      </c>
      <c r="F5" s="15">
        <v>12.7</v>
      </c>
      <c r="G5" s="15">
        <v>52</v>
      </c>
      <c r="H5" s="15">
        <v>11.5</v>
      </c>
      <c r="I5" s="15">
        <v>472.4</v>
      </c>
      <c r="J5" s="15">
        <v>0.51400000000000001</v>
      </c>
      <c r="K5" s="15">
        <v>3.2</v>
      </c>
      <c r="L5">
        <v>0</v>
      </c>
    </row>
    <row r="6" spans="1:12">
      <c r="A6">
        <v>5</v>
      </c>
      <c r="B6" t="s">
        <v>115</v>
      </c>
      <c r="C6" s="10">
        <v>1.53</v>
      </c>
      <c r="D6" s="13">
        <f>(0.14*10^6*4)/(1.56*10^5*0.1)</f>
        <v>35.897435897435898</v>
      </c>
      <c r="E6" s="15">
        <v>8.4</v>
      </c>
      <c r="F6" s="15">
        <v>5.6</v>
      </c>
      <c r="G6" s="15">
        <v>41.5</v>
      </c>
      <c r="H6" s="15">
        <v>8.9</v>
      </c>
      <c r="I6" s="15">
        <v>638.6</v>
      </c>
      <c r="J6" s="15">
        <v>0.32200000000000006</v>
      </c>
      <c r="K6" s="15">
        <v>4.5999999999999996</v>
      </c>
      <c r="L6">
        <v>0</v>
      </c>
    </row>
    <row r="7" spans="1:12">
      <c r="A7">
        <v>6</v>
      </c>
      <c r="B7" t="s">
        <v>116</v>
      </c>
      <c r="C7" s="10">
        <v>2.56</v>
      </c>
      <c r="D7" s="13">
        <f>(0.13*10^6*4)/(1.56*10^5*0.1)</f>
        <v>33.333333333333336</v>
      </c>
      <c r="E7" s="15">
        <v>6.8</v>
      </c>
      <c r="F7" s="15">
        <v>10.7</v>
      </c>
      <c r="G7" s="15">
        <v>60</v>
      </c>
      <c r="H7" s="15">
        <v>12.2</v>
      </c>
      <c r="I7" s="15">
        <v>384.54</v>
      </c>
      <c r="J7" s="15">
        <v>0.28600000000000003</v>
      </c>
      <c r="K7" s="15">
        <v>4.3</v>
      </c>
      <c r="L7">
        <v>0</v>
      </c>
    </row>
    <row r="8" spans="1:12">
      <c r="A8">
        <v>7</v>
      </c>
      <c r="B8" t="s">
        <v>117</v>
      </c>
      <c r="C8" s="10">
        <v>4.6100000000000003</v>
      </c>
      <c r="D8" s="13">
        <f>(0.13*10^6*4)/(1.56*10^5*0.1)</f>
        <v>33.333333333333336</v>
      </c>
      <c r="E8" s="15">
        <v>6.8</v>
      </c>
      <c r="F8" s="15">
        <v>10.7</v>
      </c>
      <c r="G8" s="15">
        <v>65</v>
      </c>
      <c r="H8" s="15">
        <v>8.9</v>
      </c>
      <c r="I8" s="15">
        <v>606.14</v>
      </c>
      <c r="J8" s="15">
        <v>0.22800000000000001</v>
      </c>
      <c r="K8" s="15">
        <v>2.9</v>
      </c>
      <c r="L8">
        <v>0</v>
      </c>
    </row>
    <row r="9" spans="1:12">
      <c r="A9">
        <v>8</v>
      </c>
      <c r="B9" t="s">
        <v>119</v>
      </c>
      <c r="C9" s="10">
        <v>1.53</v>
      </c>
      <c r="D9" s="13">
        <f>(0.15*10^6*4)/(1.56*10^5*0.1)</f>
        <v>38.46153846153846</v>
      </c>
      <c r="E9" s="15">
        <v>6.4</v>
      </c>
      <c r="F9" s="15">
        <v>7.3</v>
      </c>
      <c r="G9" s="15">
        <v>72.599999999999994</v>
      </c>
      <c r="H9" s="15">
        <v>6.4</v>
      </c>
      <c r="I9" s="15">
        <v>474.85</v>
      </c>
      <c r="J9" s="15">
        <v>0.50600000000000001</v>
      </c>
      <c r="K9" s="15">
        <v>4.3</v>
      </c>
      <c r="L9">
        <v>0</v>
      </c>
    </row>
    <row r="10" spans="1:12">
      <c r="A10">
        <v>9</v>
      </c>
      <c r="B10" t="s">
        <v>120</v>
      </c>
      <c r="C10" s="10">
        <v>1.03</v>
      </c>
      <c r="D10" s="13">
        <f>(0.145*10^6*4)/(1.56*10^5*0.1)</f>
        <v>37.179487179487182</v>
      </c>
      <c r="E10" s="15">
        <v>6</v>
      </c>
      <c r="F10" s="15">
        <v>1.7</v>
      </c>
      <c r="G10" s="15">
        <v>63</v>
      </c>
      <c r="H10" s="15">
        <v>7.7</v>
      </c>
      <c r="I10" s="15">
        <v>184.54</v>
      </c>
      <c r="J10" s="15">
        <v>0.41100000000000003</v>
      </c>
      <c r="K10" s="15">
        <v>3.8</v>
      </c>
      <c r="L10">
        <v>0</v>
      </c>
    </row>
    <row r="11" spans="1:12">
      <c r="A11">
        <v>10</v>
      </c>
      <c r="B11" t="s">
        <v>121</v>
      </c>
      <c r="C11" s="10">
        <v>1.03</v>
      </c>
      <c r="D11" s="13">
        <f>(0.11*10^6*4)/(1.56*10^5*0.1)</f>
        <v>28.205128205128204</v>
      </c>
      <c r="E11" s="15">
        <v>8</v>
      </c>
      <c r="F11" s="15">
        <v>7.3</v>
      </c>
      <c r="G11" s="15">
        <v>67.400000000000006</v>
      </c>
      <c r="H11" s="15">
        <v>12.2</v>
      </c>
      <c r="I11" s="15">
        <v>321.27</v>
      </c>
      <c r="J11" s="15">
        <v>0.39700000000000002</v>
      </c>
      <c r="K11" s="15">
        <v>3</v>
      </c>
      <c r="L11">
        <v>0</v>
      </c>
    </row>
    <row r="12" spans="1:12">
      <c r="A12">
        <v>11</v>
      </c>
      <c r="B12" t="s">
        <v>122</v>
      </c>
      <c r="C12" s="10">
        <v>1.53</v>
      </c>
      <c r="D12" s="13">
        <f>(0.15*10^6*4)/(1.56*10^5*0.1)</f>
        <v>38.46153846153846</v>
      </c>
      <c r="E12" s="15">
        <v>6.8</v>
      </c>
      <c r="F12" s="15">
        <v>6</v>
      </c>
      <c r="G12" s="15">
        <v>85.6</v>
      </c>
      <c r="H12" s="15">
        <v>7.7</v>
      </c>
      <c r="I12" s="15">
        <v>328.9</v>
      </c>
      <c r="J12" s="15">
        <v>0.37071428571428577</v>
      </c>
      <c r="K12" s="15">
        <v>3</v>
      </c>
      <c r="L12">
        <v>0</v>
      </c>
    </row>
    <row r="13" spans="1:12">
      <c r="A13">
        <v>12</v>
      </c>
      <c r="B13" t="s">
        <v>123</v>
      </c>
      <c r="C13" s="10">
        <v>2.0499999999999998</v>
      </c>
      <c r="D13" s="13">
        <f t="shared" ref="D13:D14" si="1">(0.12*10^6*4)/(1.56*10^5*0.1)</f>
        <v>30.76923076923077</v>
      </c>
      <c r="E13" s="15">
        <v>6.8</v>
      </c>
      <c r="F13" s="15">
        <v>6</v>
      </c>
      <c r="G13" s="15">
        <v>47</v>
      </c>
      <c r="H13" s="15">
        <v>7.7</v>
      </c>
      <c r="I13" s="15">
        <v>314.51</v>
      </c>
      <c r="J13" s="15">
        <v>0.21700000000000003</v>
      </c>
      <c r="K13" s="15">
        <v>5</v>
      </c>
      <c r="L13">
        <v>0</v>
      </c>
    </row>
    <row r="14" spans="1:12" ht="15.75" customHeight="1">
      <c r="A14">
        <v>13</v>
      </c>
      <c r="B14" t="s">
        <v>124</v>
      </c>
      <c r="C14" s="10">
        <v>3.08</v>
      </c>
      <c r="D14" s="13">
        <f t="shared" si="1"/>
        <v>30.76923076923077</v>
      </c>
      <c r="E14" s="15">
        <v>6</v>
      </c>
      <c r="F14" s="15">
        <v>4.8</v>
      </c>
      <c r="G14" s="15">
        <v>60</v>
      </c>
      <c r="H14" s="15">
        <v>5.6</v>
      </c>
      <c r="I14" s="15">
        <v>435.16</v>
      </c>
      <c r="J14" s="15">
        <v>0.29200000000000004</v>
      </c>
      <c r="K14" s="15">
        <v>5.5</v>
      </c>
      <c r="L14">
        <v>0</v>
      </c>
    </row>
    <row r="15" spans="1:12" ht="15.75" customHeight="1">
      <c r="A15">
        <v>14</v>
      </c>
      <c r="B15" t="s">
        <v>127</v>
      </c>
      <c r="C15" s="10">
        <v>3.08</v>
      </c>
      <c r="D15" s="13">
        <f>(0.15*10^6*4)/(1.56*10^5*0.1)</f>
        <v>38.46153846153846</v>
      </c>
      <c r="E15" s="15">
        <v>11.6</v>
      </c>
      <c r="F15" s="15">
        <v>6.7</v>
      </c>
      <c r="G15" s="15">
        <v>65</v>
      </c>
      <c r="H15" s="15">
        <v>12.8</v>
      </c>
      <c r="I15" s="15">
        <v>595.91999999999996</v>
      </c>
      <c r="J15" s="15">
        <v>1.044</v>
      </c>
      <c r="K15" s="15">
        <v>4.25</v>
      </c>
      <c r="L15">
        <v>0</v>
      </c>
    </row>
    <row r="16" spans="1:12" ht="15.75" customHeight="1">
      <c r="A16">
        <v>15</v>
      </c>
      <c r="B16" t="s">
        <v>130</v>
      </c>
      <c r="C16" s="10">
        <v>1.53</v>
      </c>
      <c r="D16" s="13">
        <f t="shared" ref="D16:D23" si="2">(0.13*10^6*4)/(1.56*10^5*0.1)</f>
        <v>33.333333333333336</v>
      </c>
      <c r="E16" s="15">
        <v>10</v>
      </c>
      <c r="F16" s="15">
        <v>6</v>
      </c>
      <c r="G16" s="15">
        <v>65</v>
      </c>
      <c r="H16" s="15">
        <v>8.9</v>
      </c>
      <c r="I16" s="15">
        <v>467.94</v>
      </c>
      <c r="J16" s="15">
        <v>0.25600000000000001</v>
      </c>
      <c r="K16" s="15">
        <v>7.3</v>
      </c>
      <c r="L16">
        <v>0</v>
      </c>
    </row>
    <row r="17" spans="1:12" ht="15.75" customHeight="1">
      <c r="A17">
        <v>16</v>
      </c>
      <c r="B17" t="s">
        <v>132</v>
      </c>
      <c r="C17" s="10">
        <v>1.53</v>
      </c>
      <c r="D17" s="13">
        <f t="shared" ref="D17:D25" si="3">(0.1*10^6*4)/(1.56*10^5*0.1)</f>
        <v>25.641025641025642</v>
      </c>
      <c r="E17" s="15">
        <v>9.6</v>
      </c>
      <c r="F17" s="15">
        <v>9.3000000000000007</v>
      </c>
      <c r="G17" s="15">
        <v>75.2</v>
      </c>
      <c r="H17" s="15">
        <v>10.9</v>
      </c>
      <c r="I17" s="15">
        <v>222.42</v>
      </c>
      <c r="J17" s="15">
        <v>0.34200000000000003</v>
      </c>
      <c r="K17" s="15">
        <v>3.8</v>
      </c>
      <c r="L17">
        <v>0</v>
      </c>
    </row>
    <row r="18" spans="1:12" ht="15.75" customHeight="1">
      <c r="A18">
        <v>17</v>
      </c>
      <c r="B18" t="s">
        <v>134</v>
      </c>
      <c r="C18" s="10">
        <v>0.51</v>
      </c>
      <c r="D18" s="13">
        <f>(0.11*10^6*4)/(1.56*10^5*0.1)</f>
        <v>28.205128205128204</v>
      </c>
      <c r="E18" s="15">
        <v>11.2</v>
      </c>
      <c r="F18" s="15">
        <v>8</v>
      </c>
      <c r="G18" s="15">
        <v>62.2</v>
      </c>
      <c r="H18" s="15">
        <v>6.4</v>
      </c>
      <c r="I18" s="15">
        <v>560.9</v>
      </c>
      <c r="J18" s="15">
        <v>0.26100000000000001</v>
      </c>
      <c r="K18" s="15">
        <v>1.5</v>
      </c>
      <c r="L18">
        <v>0</v>
      </c>
    </row>
    <row r="19" spans="1:12" ht="15.75" customHeight="1">
      <c r="A19">
        <v>18</v>
      </c>
      <c r="B19" t="s">
        <v>135</v>
      </c>
      <c r="C19" s="10">
        <v>1.03</v>
      </c>
      <c r="D19" s="13">
        <f>(0.12*10^6*4)/(1.56*10^5*0.1)</f>
        <v>30.76923076923077</v>
      </c>
      <c r="E19" s="15">
        <v>6</v>
      </c>
      <c r="F19" s="15">
        <v>4.8</v>
      </c>
      <c r="G19" s="15">
        <v>60</v>
      </c>
      <c r="H19" s="15">
        <v>5.6</v>
      </c>
      <c r="I19" s="15">
        <v>435.16</v>
      </c>
      <c r="J19" s="15">
        <v>0.29200000000000004</v>
      </c>
      <c r="K19" s="15">
        <v>5.5</v>
      </c>
      <c r="L19">
        <v>0</v>
      </c>
    </row>
    <row r="20" spans="1:12" ht="15.75" customHeight="1">
      <c r="A20">
        <v>19</v>
      </c>
      <c r="B20" t="s">
        <v>136</v>
      </c>
      <c r="C20" s="10">
        <v>1.03</v>
      </c>
      <c r="D20" s="13">
        <f>(0.11*10^6*4)/(1.56*10^5*0.1)</f>
        <v>28.205128205128204</v>
      </c>
      <c r="E20" s="15">
        <v>8</v>
      </c>
      <c r="F20" s="15">
        <v>9.3000000000000007</v>
      </c>
      <c r="G20" s="15">
        <v>52</v>
      </c>
      <c r="H20" s="15">
        <v>13.4</v>
      </c>
      <c r="I20" s="15">
        <v>132.71</v>
      </c>
      <c r="J20" s="15">
        <v>0.94200000000000006</v>
      </c>
      <c r="K20" s="15">
        <v>4.5999999999999996</v>
      </c>
      <c r="L20">
        <v>0</v>
      </c>
    </row>
    <row r="21" spans="1:12" ht="15.75" customHeight="1">
      <c r="A21">
        <v>20</v>
      </c>
      <c r="B21" t="s">
        <v>138</v>
      </c>
      <c r="C21" s="10">
        <v>1.53</v>
      </c>
      <c r="D21" s="13">
        <f t="shared" ref="D21:D31" si="4">(0.1*10^6*4)/(1.56*10^5*0.1)</f>
        <v>25.641025641025642</v>
      </c>
      <c r="E21" s="15">
        <v>6.8</v>
      </c>
      <c r="F21" s="15">
        <v>9.3000000000000007</v>
      </c>
      <c r="G21" s="15">
        <v>60</v>
      </c>
      <c r="H21" s="15">
        <v>14.7</v>
      </c>
      <c r="I21" s="15">
        <v>301.8</v>
      </c>
      <c r="J21" s="15">
        <v>0.28900000000000003</v>
      </c>
      <c r="K21" s="15">
        <v>2</v>
      </c>
      <c r="L21">
        <v>0</v>
      </c>
    </row>
    <row r="22" spans="1:12" ht="15.75" customHeight="1">
      <c r="A22">
        <v>21</v>
      </c>
      <c r="B22" t="s">
        <v>139</v>
      </c>
      <c r="C22" s="10">
        <v>2.0499999999999998</v>
      </c>
      <c r="D22" s="13">
        <f t="shared" si="4"/>
        <v>25.641025641025642</v>
      </c>
      <c r="E22" s="15">
        <v>5.2</v>
      </c>
      <c r="F22" s="15">
        <v>5.2</v>
      </c>
      <c r="G22" s="15">
        <v>65</v>
      </c>
      <c r="H22" s="15">
        <v>7.7</v>
      </c>
      <c r="I22" s="15">
        <v>280</v>
      </c>
      <c r="J22" s="15">
        <v>0.33900000000000008</v>
      </c>
      <c r="K22" s="15">
        <v>3</v>
      </c>
      <c r="L22">
        <v>0</v>
      </c>
    </row>
    <row r="23" spans="1:12" ht="15.75" customHeight="1">
      <c r="A23">
        <v>22</v>
      </c>
      <c r="B23" t="s">
        <v>140</v>
      </c>
      <c r="C23" s="10">
        <v>2.0499999999999998</v>
      </c>
      <c r="D23" s="13">
        <f>(0.145*10^6*4)/(1.56*10^5*0.1)</f>
        <v>37.179487179487182</v>
      </c>
      <c r="E23" s="15">
        <v>6</v>
      </c>
      <c r="F23" s="15">
        <v>6</v>
      </c>
      <c r="G23" s="15">
        <v>57</v>
      </c>
      <c r="H23" s="15">
        <v>6.4</v>
      </c>
      <c r="I23" s="15">
        <v>250</v>
      </c>
      <c r="J23" s="15">
        <v>0.24700000000000003</v>
      </c>
      <c r="K23" s="15">
        <v>3</v>
      </c>
      <c r="L23">
        <v>0</v>
      </c>
    </row>
    <row r="24" spans="1:12" ht="15.75" customHeight="1">
      <c r="A24">
        <v>23</v>
      </c>
      <c r="B24" t="s">
        <v>269</v>
      </c>
      <c r="C24" s="10">
        <v>3.08</v>
      </c>
      <c r="D24" s="13">
        <f>(0.12*10^6*4)/(1.56*10^5*0.1)</f>
        <v>30.76923076923077</v>
      </c>
      <c r="E24" s="15">
        <v>6.8</v>
      </c>
      <c r="F24" s="15">
        <v>6</v>
      </c>
      <c r="G24" s="15">
        <v>47</v>
      </c>
      <c r="H24" s="15">
        <v>7.7</v>
      </c>
      <c r="I24" s="15">
        <v>314.51</v>
      </c>
      <c r="J24" s="15">
        <v>0.21700000000000003</v>
      </c>
      <c r="K24" s="15">
        <v>5</v>
      </c>
      <c r="L24">
        <v>0</v>
      </c>
    </row>
    <row r="25" spans="1:12" ht="15.75" customHeight="1">
      <c r="A25">
        <v>24</v>
      </c>
      <c r="B25" t="s">
        <v>270</v>
      </c>
      <c r="C25" s="10">
        <v>2.0499999999999998</v>
      </c>
      <c r="D25" s="13">
        <f>(0.11*10^6*4)/(1.56*10^5*0.1)</f>
        <v>28.205128205128204</v>
      </c>
      <c r="E25" s="15">
        <v>6</v>
      </c>
      <c r="F25" s="15">
        <v>4.8</v>
      </c>
      <c r="G25" s="15">
        <v>60</v>
      </c>
      <c r="H25" s="15">
        <v>5.6</v>
      </c>
      <c r="I25" s="15">
        <v>435.16</v>
      </c>
      <c r="J25" s="15">
        <v>0.29200000000000004</v>
      </c>
      <c r="K25" s="15">
        <v>5.5</v>
      </c>
      <c r="L25">
        <v>0</v>
      </c>
    </row>
    <row r="26" spans="1:12" ht="15.75" customHeight="1">
      <c r="A26">
        <v>25</v>
      </c>
      <c r="B26" t="s">
        <v>271</v>
      </c>
      <c r="C26" s="10">
        <v>2.0499999999999998</v>
      </c>
      <c r="D26" s="13">
        <f>(0.14*10^6*4)/(1.56*10^5*0.1)</f>
        <v>35.897435897435898</v>
      </c>
      <c r="E26" s="15">
        <v>11.6</v>
      </c>
      <c r="F26" s="15">
        <v>6.7</v>
      </c>
      <c r="G26" s="15">
        <v>65</v>
      </c>
      <c r="H26" s="15">
        <v>12.8</v>
      </c>
      <c r="I26" s="15">
        <v>595.91999999999996</v>
      </c>
      <c r="J26" s="15">
        <v>1.044</v>
      </c>
      <c r="K26" s="15">
        <v>4.25</v>
      </c>
      <c r="L26">
        <v>0</v>
      </c>
    </row>
    <row r="27" spans="1:12" ht="15.75" customHeight="1">
      <c r="A27">
        <v>26</v>
      </c>
      <c r="B27" t="s">
        <v>272</v>
      </c>
      <c r="C27" s="10">
        <v>1.03</v>
      </c>
      <c r="D27" s="13">
        <f>(0.13*10^6*4)/(1.56*10^5*0.1)</f>
        <v>33.333333333333336</v>
      </c>
      <c r="E27" s="15">
        <v>10</v>
      </c>
      <c r="F27" s="15">
        <v>6</v>
      </c>
      <c r="G27" s="15">
        <v>65</v>
      </c>
      <c r="H27" s="15">
        <v>8.9</v>
      </c>
      <c r="I27" s="15">
        <v>467.94</v>
      </c>
      <c r="J27" s="15">
        <v>0.25600000000000001</v>
      </c>
      <c r="K27" s="15">
        <v>7.3</v>
      </c>
      <c r="L27">
        <v>0</v>
      </c>
    </row>
    <row r="28" spans="1:12" ht="15.75" customHeight="1">
      <c r="A28">
        <v>27</v>
      </c>
      <c r="B28" t="s">
        <v>273</v>
      </c>
      <c r="C28" s="10">
        <v>1.53</v>
      </c>
      <c r="D28" s="13">
        <f>(0.1*10^6*4)/(1.56*10^5*0.1)</f>
        <v>25.641025641025642</v>
      </c>
      <c r="E28" s="15">
        <v>9.6</v>
      </c>
      <c r="F28" s="15">
        <v>9.3000000000000007</v>
      </c>
      <c r="G28" s="15">
        <v>75.2</v>
      </c>
      <c r="H28" s="15">
        <v>10.9</v>
      </c>
      <c r="I28" s="15">
        <v>222.42</v>
      </c>
      <c r="J28" s="15">
        <v>0.34200000000000003</v>
      </c>
      <c r="K28" s="15">
        <v>3.8</v>
      </c>
      <c r="L28">
        <v>0</v>
      </c>
    </row>
    <row r="29" spans="1:12" ht="15.75" customHeight="1">
      <c r="A29">
        <v>28</v>
      </c>
      <c r="B29" t="s">
        <v>274</v>
      </c>
      <c r="C29" s="10">
        <v>1.03</v>
      </c>
      <c r="D29" s="13">
        <f>(0.12*10^6*4)/(1.56*10^5*0.1)</f>
        <v>30.76923076923077</v>
      </c>
      <c r="E29" s="15">
        <v>11.2</v>
      </c>
      <c r="F29" s="15">
        <v>8</v>
      </c>
      <c r="G29" s="15">
        <v>62.2</v>
      </c>
      <c r="H29" s="15">
        <v>6.4</v>
      </c>
      <c r="I29" s="15">
        <v>560.9</v>
      </c>
      <c r="J29" s="15">
        <v>0.26100000000000001</v>
      </c>
      <c r="K29" s="15">
        <v>1.5</v>
      </c>
      <c r="L29">
        <v>0</v>
      </c>
    </row>
    <row r="30" spans="1:12" ht="15.75" customHeight="1">
      <c r="A30">
        <v>29</v>
      </c>
      <c r="B30" t="s">
        <v>275</v>
      </c>
      <c r="C30" s="10">
        <v>1.03</v>
      </c>
      <c r="D30" s="13">
        <f>(0.11*10^6*4)/(1.56*10^5*0.1)</f>
        <v>28.205128205128204</v>
      </c>
      <c r="E30" s="15">
        <v>6</v>
      </c>
      <c r="F30" s="15">
        <v>4.8</v>
      </c>
      <c r="G30" s="15">
        <v>60</v>
      </c>
      <c r="H30" s="15">
        <v>5.6</v>
      </c>
      <c r="I30" s="15">
        <v>435.16</v>
      </c>
      <c r="J30" s="15">
        <v>0.29200000000000004</v>
      </c>
      <c r="K30" s="15">
        <v>5.5</v>
      </c>
      <c r="L30">
        <v>0</v>
      </c>
    </row>
    <row r="31" spans="1:12" ht="15.75" customHeight="1">
      <c r="A31">
        <v>30</v>
      </c>
      <c r="B31" t="s">
        <v>276</v>
      </c>
      <c r="C31" s="10">
        <v>2.0499999999999998</v>
      </c>
      <c r="D31" s="13">
        <f>(0.11*10^6*4)/(1.56*10^5*0.1)</f>
        <v>28.205128205128204</v>
      </c>
      <c r="E31" s="15">
        <v>7.6</v>
      </c>
      <c r="F31" s="15">
        <v>8</v>
      </c>
      <c r="G31" s="15">
        <v>41.5</v>
      </c>
      <c r="H31" s="15">
        <v>15.26</v>
      </c>
      <c r="I31" s="15">
        <v>361.28</v>
      </c>
      <c r="J31" s="15">
        <v>0.37071428571428577</v>
      </c>
      <c r="K31" s="15">
        <v>4.9000000000000004</v>
      </c>
      <c r="L31">
        <v>0</v>
      </c>
    </row>
    <row r="32" spans="1:12" ht="15.75" customHeight="1">
      <c r="A32">
        <v>31</v>
      </c>
      <c r="B32" t="s">
        <v>277</v>
      </c>
      <c r="C32" s="10">
        <v>3.58</v>
      </c>
      <c r="D32" s="13">
        <f t="shared" ref="D32:D34" si="5">(0.1*10^6*4)/(1.56*10^5*0.1)</f>
        <v>25.641025641025642</v>
      </c>
      <c r="E32" s="15">
        <v>7.6</v>
      </c>
      <c r="F32" s="15">
        <v>4.7</v>
      </c>
      <c r="G32" s="15">
        <v>65</v>
      </c>
      <c r="H32" s="15">
        <v>10.9</v>
      </c>
      <c r="I32" s="15">
        <v>404.13</v>
      </c>
      <c r="J32" s="15">
        <v>0.37071428571428577</v>
      </c>
      <c r="K32" s="15">
        <v>2</v>
      </c>
      <c r="L32">
        <v>0</v>
      </c>
    </row>
    <row r="33" spans="1:12" ht="15.75" customHeight="1">
      <c r="A33">
        <v>32</v>
      </c>
      <c r="B33" t="s">
        <v>278</v>
      </c>
      <c r="C33" s="10">
        <v>1.03</v>
      </c>
      <c r="D33" s="13">
        <f t="shared" si="5"/>
        <v>25.641025641025642</v>
      </c>
      <c r="E33" s="15">
        <v>5.2</v>
      </c>
      <c r="F33" s="15">
        <v>6</v>
      </c>
      <c r="G33" s="15">
        <v>44.1</v>
      </c>
      <c r="H33" s="15">
        <v>10.9</v>
      </c>
      <c r="I33" s="15">
        <v>235.23</v>
      </c>
      <c r="J33" s="15">
        <v>0.62200000000000011</v>
      </c>
      <c r="K33" s="15">
        <v>4.4000000000000004</v>
      </c>
      <c r="L33">
        <v>0</v>
      </c>
    </row>
    <row r="34" spans="1:12" ht="15.75" customHeight="1">
      <c r="A34">
        <v>33</v>
      </c>
      <c r="B34" t="s">
        <v>279</v>
      </c>
      <c r="C34" s="10">
        <v>2.0499999999999998</v>
      </c>
      <c r="D34" s="13">
        <f t="shared" si="5"/>
        <v>25.641025641025642</v>
      </c>
      <c r="E34" s="15">
        <v>8.4</v>
      </c>
      <c r="F34" s="15">
        <v>12.7</v>
      </c>
      <c r="G34" s="15">
        <v>52</v>
      </c>
      <c r="H34" s="15">
        <v>11.5</v>
      </c>
      <c r="I34" s="15">
        <v>472.4</v>
      </c>
      <c r="J34" s="15">
        <v>0.51400000000000001</v>
      </c>
      <c r="K34" s="15">
        <v>3.2</v>
      </c>
      <c r="L34">
        <v>0</v>
      </c>
    </row>
    <row r="35" spans="1:12" ht="15.75" customHeight="1">
      <c r="A35">
        <v>34</v>
      </c>
      <c r="B35" t="s">
        <v>280</v>
      </c>
      <c r="C35" s="10">
        <v>1.53</v>
      </c>
      <c r="D35" s="13">
        <f>(0.14*10^6*4)/(1.56*10^5*0.1)</f>
        <v>35.897435897435898</v>
      </c>
      <c r="E35" s="15">
        <v>8.4</v>
      </c>
      <c r="F35" s="15">
        <v>5.6</v>
      </c>
      <c r="G35" s="15">
        <v>41.5</v>
      </c>
      <c r="H35" s="15">
        <v>8.9</v>
      </c>
      <c r="I35" s="15">
        <v>638.6</v>
      </c>
      <c r="J35" s="15">
        <v>0.32200000000000006</v>
      </c>
      <c r="K35" s="15">
        <v>4.5999999999999996</v>
      </c>
      <c r="L35">
        <v>0</v>
      </c>
    </row>
    <row r="36" spans="1:12" ht="15.75" customHeight="1">
      <c r="A36">
        <v>35</v>
      </c>
      <c r="B36" t="s">
        <v>281</v>
      </c>
      <c r="C36" s="10">
        <v>2.56</v>
      </c>
      <c r="D36" s="13">
        <f t="shared" ref="D36:D37" si="6">(0.13*10^6*4)/(1.56*10^5*0.1)</f>
        <v>33.333333333333336</v>
      </c>
      <c r="E36" s="15">
        <v>6.8</v>
      </c>
      <c r="F36" s="15">
        <v>10.7</v>
      </c>
      <c r="G36" s="15">
        <v>60</v>
      </c>
      <c r="H36" s="15">
        <v>12.2</v>
      </c>
      <c r="I36" s="15">
        <v>384.54</v>
      </c>
      <c r="J36" s="15">
        <v>0.28600000000000003</v>
      </c>
      <c r="K36" s="15">
        <v>4.3</v>
      </c>
      <c r="L36">
        <v>0</v>
      </c>
    </row>
    <row r="37" spans="1:12" ht="15.75" customHeight="1">
      <c r="A37">
        <v>36</v>
      </c>
      <c r="B37" t="s">
        <v>282</v>
      </c>
      <c r="C37" s="10">
        <v>4.6100000000000003</v>
      </c>
      <c r="D37" s="13">
        <f t="shared" si="6"/>
        <v>33.333333333333336</v>
      </c>
      <c r="E37" s="15">
        <v>11.5</v>
      </c>
      <c r="F37" s="15">
        <v>7.3</v>
      </c>
      <c r="G37" s="15">
        <v>57</v>
      </c>
      <c r="H37" s="15">
        <v>12.2</v>
      </c>
      <c r="I37" s="15">
        <v>490.33</v>
      </c>
      <c r="J37" s="15">
        <v>0.37071428571428577</v>
      </c>
      <c r="K37" s="15">
        <v>4.5999999999999996</v>
      </c>
      <c r="L37">
        <v>0</v>
      </c>
    </row>
    <row r="38" spans="1:12" ht="15.75" customHeight="1">
      <c r="A38">
        <v>37</v>
      </c>
      <c r="B38" t="s">
        <v>283</v>
      </c>
      <c r="C38" s="10">
        <v>1.03</v>
      </c>
      <c r="D38" s="13">
        <f>(0.095*10^6*4)/(1.56*10^5*0.1)</f>
        <v>24.358974358974358</v>
      </c>
      <c r="E38" s="15">
        <v>6.8</v>
      </c>
      <c r="F38" s="15">
        <v>10.7</v>
      </c>
      <c r="G38" s="15">
        <v>65</v>
      </c>
      <c r="H38" s="15">
        <v>8.9</v>
      </c>
      <c r="I38" s="15">
        <v>606.14</v>
      </c>
      <c r="J38" s="15">
        <v>0.22800000000000001</v>
      </c>
      <c r="K38" s="15">
        <v>2.9</v>
      </c>
      <c r="L38">
        <v>0</v>
      </c>
    </row>
    <row r="39" spans="1:12" ht="15.75" customHeight="1">
      <c r="A39">
        <v>38</v>
      </c>
      <c r="B39" t="s">
        <v>284</v>
      </c>
      <c r="C39" s="10">
        <v>1.03</v>
      </c>
      <c r="D39" s="13">
        <f>(0.145*10^6*4)/(1.56*10^5*0.1)</f>
        <v>37.179487179487182</v>
      </c>
      <c r="E39" s="15">
        <v>6.4</v>
      </c>
      <c r="F39" s="15">
        <v>7.3</v>
      </c>
      <c r="G39" s="15">
        <v>72.599999999999994</v>
      </c>
      <c r="H39" s="15">
        <v>6.4</v>
      </c>
      <c r="I39" s="15">
        <v>474.85</v>
      </c>
      <c r="J39" s="15">
        <v>0.50600000000000001</v>
      </c>
      <c r="K39" s="15">
        <v>4.3</v>
      </c>
      <c r="L39">
        <v>0</v>
      </c>
    </row>
    <row r="40" spans="1:12" ht="15.75" customHeight="1">
      <c r="A40">
        <v>39</v>
      </c>
      <c r="B40" t="s">
        <v>285</v>
      </c>
      <c r="C40" s="10">
        <v>1.03</v>
      </c>
      <c r="D40" s="13">
        <f>(0.11*10^6*4)/(1.56*10^5*0.1)</f>
        <v>28.205128205128204</v>
      </c>
      <c r="E40" s="15">
        <v>6</v>
      </c>
      <c r="F40" s="15">
        <v>1.7</v>
      </c>
      <c r="G40" s="15">
        <v>63</v>
      </c>
      <c r="H40" s="15">
        <v>7.7</v>
      </c>
      <c r="I40" s="15">
        <v>184.54</v>
      </c>
      <c r="J40" s="15">
        <v>0.41100000000000003</v>
      </c>
      <c r="K40" s="15">
        <v>3.8</v>
      </c>
      <c r="L40">
        <v>0</v>
      </c>
    </row>
    <row r="41" spans="1:12" ht="15.75" customHeight="1">
      <c r="A41">
        <v>40</v>
      </c>
      <c r="B41" t="s">
        <v>286</v>
      </c>
      <c r="C41" s="10">
        <v>1.53</v>
      </c>
      <c r="D41" s="13">
        <f>(0.15*10^6*4)/(1.56*10^5*0.1)</f>
        <v>38.46153846153846</v>
      </c>
      <c r="E41" s="15">
        <v>8</v>
      </c>
      <c r="F41" s="15">
        <v>7.3</v>
      </c>
      <c r="G41" s="15">
        <v>67.400000000000006</v>
      </c>
      <c r="H41" s="15">
        <v>12.2</v>
      </c>
      <c r="I41" s="15">
        <v>321.27</v>
      </c>
      <c r="J41" s="15">
        <v>0.39700000000000002</v>
      </c>
      <c r="K41" s="15">
        <v>3</v>
      </c>
      <c r="L41">
        <v>0</v>
      </c>
    </row>
    <row r="42" spans="1:12" ht="15.75" customHeight="1">
      <c r="A42">
        <v>41</v>
      </c>
      <c r="B42" t="s">
        <v>287</v>
      </c>
      <c r="C42" s="10">
        <v>2.0499999999999998</v>
      </c>
      <c r="D42" s="13">
        <f>(0.12*10^6*4)/(1.56*10^5*0.1)</f>
        <v>30.76923076923077</v>
      </c>
      <c r="E42" s="15">
        <v>6.8</v>
      </c>
      <c r="F42" s="15">
        <v>6</v>
      </c>
      <c r="G42" s="15">
        <v>85.6</v>
      </c>
      <c r="H42" s="15">
        <v>7.7</v>
      </c>
      <c r="I42" s="15">
        <v>328.9</v>
      </c>
      <c r="J42" s="15">
        <v>0.37071428571428577</v>
      </c>
      <c r="K42" s="15">
        <v>3</v>
      </c>
      <c r="L42">
        <v>0</v>
      </c>
    </row>
    <row r="43" spans="1:12" ht="15.75" customHeight="1">
      <c r="A43">
        <v>42</v>
      </c>
      <c r="B43" t="s">
        <v>288</v>
      </c>
      <c r="C43" s="10">
        <v>1.03</v>
      </c>
      <c r="D43" s="13">
        <f>(0.09*10^6*4)/(1.56*10^5*0.1)</f>
        <v>23.076923076923077</v>
      </c>
      <c r="E43" s="15">
        <v>8</v>
      </c>
      <c r="F43" s="15">
        <v>8.6999999999999993</v>
      </c>
      <c r="G43" s="15">
        <v>65</v>
      </c>
      <c r="H43" s="15">
        <v>7.7</v>
      </c>
      <c r="I43" s="15">
        <v>369</v>
      </c>
      <c r="J43" s="15">
        <v>0.28300000000000003</v>
      </c>
      <c r="K43" s="15">
        <v>3</v>
      </c>
      <c r="L43">
        <v>0</v>
      </c>
    </row>
    <row r="44" spans="1:12" ht="15.75" customHeight="1">
      <c r="A44">
        <v>43</v>
      </c>
      <c r="B44" t="s">
        <v>289</v>
      </c>
      <c r="C44" s="10">
        <v>3.08</v>
      </c>
      <c r="D44" s="13">
        <f>(0.15*10^6*4)/(1.56*10^5*0.1)</f>
        <v>38.46153846153846</v>
      </c>
      <c r="E44" s="15">
        <v>5.2</v>
      </c>
      <c r="F44" s="15">
        <v>11.3</v>
      </c>
      <c r="G44" s="15">
        <v>44.1</v>
      </c>
      <c r="H44" s="15">
        <v>17.3</v>
      </c>
      <c r="I44" s="15">
        <v>369</v>
      </c>
      <c r="J44" s="15">
        <v>0.28300000000000003</v>
      </c>
      <c r="K44" s="15">
        <v>3</v>
      </c>
      <c r="L44">
        <v>0</v>
      </c>
    </row>
    <row r="45" spans="1:12" ht="15.75" customHeight="1">
      <c r="A45">
        <v>44</v>
      </c>
      <c r="B45" t="s">
        <v>290</v>
      </c>
      <c r="C45" s="10">
        <v>1.03</v>
      </c>
      <c r="D45" s="13">
        <f>(0.14*10^6*4)/(1.56*10^5*0.1)</f>
        <v>35.897435897435898</v>
      </c>
      <c r="E45" s="15">
        <v>10</v>
      </c>
      <c r="F45" s="15">
        <v>4.7</v>
      </c>
      <c r="G45" s="15">
        <v>52</v>
      </c>
      <c r="H45" s="15">
        <v>12.2</v>
      </c>
      <c r="I45" s="15">
        <v>446.53</v>
      </c>
      <c r="J45" s="15">
        <v>0.24700000000000003</v>
      </c>
      <c r="K45" s="15">
        <v>3</v>
      </c>
      <c r="L45">
        <v>0</v>
      </c>
    </row>
    <row r="46" spans="1:12" ht="15.75" customHeight="1">
      <c r="A46">
        <v>45</v>
      </c>
      <c r="B46" t="s">
        <v>291</v>
      </c>
      <c r="C46" s="10">
        <v>1.53</v>
      </c>
      <c r="D46" s="13">
        <f>(0.13*10^6*4)/(1.56*10^5*0.1)</f>
        <v>33.333333333333336</v>
      </c>
      <c r="E46" s="15">
        <v>5.2</v>
      </c>
      <c r="F46" s="15">
        <v>8</v>
      </c>
      <c r="G46" s="15">
        <v>41.5</v>
      </c>
      <c r="H46" s="15">
        <v>8.9</v>
      </c>
      <c r="I46" s="15">
        <v>373.44</v>
      </c>
      <c r="J46" s="15">
        <v>0.29700000000000004</v>
      </c>
      <c r="K46" s="15">
        <v>2.6</v>
      </c>
      <c r="L46">
        <v>0</v>
      </c>
    </row>
    <row r="47" spans="1:12" ht="15.75" customHeight="1">
      <c r="A47">
        <v>46</v>
      </c>
      <c r="B47" t="s">
        <v>292</v>
      </c>
      <c r="C47" s="10">
        <v>1.53</v>
      </c>
      <c r="D47" s="13">
        <f>(0.1*10^6*4)/(1.56*10^5*0.1)</f>
        <v>25.641025641025642</v>
      </c>
      <c r="E47" s="15">
        <v>6</v>
      </c>
      <c r="F47" s="15">
        <v>8</v>
      </c>
      <c r="G47" s="15">
        <v>36.299999999999997</v>
      </c>
      <c r="H47" s="15">
        <v>7.7</v>
      </c>
      <c r="I47" s="15">
        <v>488.95</v>
      </c>
      <c r="J47" s="15">
        <v>0.31900000000000006</v>
      </c>
      <c r="K47" s="15">
        <v>3</v>
      </c>
      <c r="L47">
        <v>0</v>
      </c>
    </row>
    <row r="48" spans="1:12" ht="15.75" customHeight="1">
      <c r="A48">
        <v>47</v>
      </c>
      <c r="B48" t="s">
        <v>293</v>
      </c>
      <c r="C48" s="10">
        <v>0.51</v>
      </c>
      <c r="D48" s="13">
        <f>(0.11*10^6*4)/(1.56*10^5*0.1)</f>
        <v>28.205128205128204</v>
      </c>
      <c r="E48" s="15">
        <v>9.6</v>
      </c>
      <c r="F48" s="15">
        <v>8.6999999999999993</v>
      </c>
      <c r="G48" s="15">
        <v>41.5</v>
      </c>
      <c r="H48" s="15">
        <v>11.5</v>
      </c>
      <c r="I48" s="15">
        <v>125.6</v>
      </c>
      <c r="J48" s="15">
        <v>0.51100000000000001</v>
      </c>
      <c r="K48" s="15">
        <v>3.8</v>
      </c>
      <c r="L48">
        <v>0</v>
      </c>
    </row>
    <row r="49" spans="1:12" ht="15.75" customHeight="1">
      <c r="A49">
        <v>48</v>
      </c>
      <c r="B49" t="s">
        <v>294</v>
      </c>
      <c r="C49" s="10">
        <v>1.03</v>
      </c>
      <c r="D49" s="13">
        <f t="shared" ref="D49:D51" si="7">(0.1*10^6*4)/(1.56*10^5*0.1)</f>
        <v>25.641025641025642</v>
      </c>
      <c r="E49" s="15">
        <v>8</v>
      </c>
      <c r="F49" s="15">
        <v>9.3000000000000007</v>
      </c>
      <c r="G49" s="15">
        <v>52</v>
      </c>
      <c r="H49" s="15">
        <v>13.4</v>
      </c>
      <c r="I49" s="15">
        <v>132.71</v>
      </c>
      <c r="J49" s="15">
        <v>0.94200000000000006</v>
      </c>
      <c r="K49" s="15">
        <v>4.5999999999999996</v>
      </c>
      <c r="L49">
        <v>0</v>
      </c>
    </row>
    <row r="50" spans="1:12" ht="15.75" customHeight="1">
      <c r="A50">
        <v>49</v>
      </c>
      <c r="B50" t="s">
        <v>295</v>
      </c>
      <c r="C50" s="10">
        <v>1.53</v>
      </c>
      <c r="D50" s="13">
        <f t="shared" si="7"/>
        <v>25.641025641025642</v>
      </c>
      <c r="E50" s="15">
        <v>6.8</v>
      </c>
      <c r="F50" s="15">
        <v>9.3000000000000007</v>
      </c>
      <c r="G50" s="15">
        <v>60</v>
      </c>
      <c r="H50" s="15">
        <v>14.7</v>
      </c>
      <c r="I50" s="15">
        <v>301.8</v>
      </c>
      <c r="J50" s="15">
        <v>0.28900000000000003</v>
      </c>
      <c r="K50" s="15">
        <v>2</v>
      </c>
      <c r="L50">
        <v>0</v>
      </c>
    </row>
    <row r="51" spans="1:12" ht="15.75" customHeight="1">
      <c r="A51">
        <v>50</v>
      </c>
      <c r="B51" t="s">
        <v>296</v>
      </c>
      <c r="C51" s="10">
        <v>2.0499999999999998</v>
      </c>
      <c r="D51" s="13">
        <f t="shared" si="7"/>
        <v>25.641025641025642</v>
      </c>
      <c r="E51" s="15">
        <v>5.2</v>
      </c>
      <c r="F51" s="15">
        <v>5.2</v>
      </c>
      <c r="G51" s="15">
        <v>65</v>
      </c>
      <c r="H51" s="15">
        <v>7.7</v>
      </c>
      <c r="I51" s="15">
        <v>280</v>
      </c>
      <c r="J51" s="15">
        <v>0.33900000000000008</v>
      </c>
      <c r="K51" s="15">
        <v>3</v>
      </c>
      <c r="L51">
        <v>0</v>
      </c>
    </row>
    <row r="52" spans="1:12" ht="15.75" customHeight="1">
      <c r="A52">
        <v>51</v>
      </c>
      <c r="B52" t="s">
        <v>297</v>
      </c>
      <c r="C52" s="10">
        <v>3.08</v>
      </c>
      <c r="D52" s="13">
        <f>(0.145*10^6*4)/(1.56*10^5*0.1)</f>
        <v>37.179487179487182</v>
      </c>
      <c r="E52" s="15">
        <v>6</v>
      </c>
      <c r="F52" s="15">
        <v>6</v>
      </c>
      <c r="G52" s="15">
        <v>57</v>
      </c>
      <c r="H52" s="15">
        <v>6.4</v>
      </c>
      <c r="I52" s="15">
        <v>250</v>
      </c>
      <c r="J52" s="15">
        <v>0.24700000000000003</v>
      </c>
      <c r="K52" s="15">
        <v>3</v>
      </c>
      <c r="L52">
        <v>0</v>
      </c>
    </row>
    <row r="53" spans="1:12" ht="15.75" customHeight="1">
      <c r="A53">
        <v>52</v>
      </c>
      <c r="B53" t="s">
        <v>298</v>
      </c>
      <c r="C53" s="10">
        <v>2.56</v>
      </c>
      <c r="D53" s="13">
        <f>(0.13*10^6*4)/(1.56*10^5*0.1)</f>
        <v>33.333333333333336</v>
      </c>
      <c r="E53" s="15">
        <v>8</v>
      </c>
      <c r="F53" s="15">
        <v>6</v>
      </c>
      <c r="G53" s="15">
        <v>62.2</v>
      </c>
      <c r="H53" s="15">
        <v>7.7</v>
      </c>
      <c r="I53" s="15">
        <v>230</v>
      </c>
      <c r="J53" s="15">
        <v>0.189</v>
      </c>
      <c r="K53" s="15">
        <v>3</v>
      </c>
      <c r="L53">
        <v>0</v>
      </c>
    </row>
    <row r="54" spans="1:12" ht="15.75" customHeight="1">
      <c r="A54">
        <v>53</v>
      </c>
      <c r="B54" t="s">
        <v>299</v>
      </c>
      <c r="C54" s="10">
        <v>2.0499999999999998</v>
      </c>
      <c r="D54" s="13">
        <f>(0.14*10^6*4)/(1.56*10^5*0.1)</f>
        <v>35.897435897435898</v>
      </c>
      <c r="E54" s="15">
        <v>1.2</v>
      </c>
      <c r="F54" s="15">
        <v>4.8</v>
      </c>
      <c r="G54" s="15">
        <v>73</v>
      </c>
      <c r="H54" s="15">
        <v>6.4</v>
      </c>
      <c r="I54" s="15">
        <v>325</v>
      </c>
      <c r="J54" s="15">
        <v>0.17500000000000002</v>
      </c>
      <c r="K54" s="15">
        <v>4.5999999999999996</v>
      </c>
      <c r="L54">
        <v>0</v>
      </c>
    </row>
    <row r="55" spans="1:12" ht="15.75" customHeight="1">
      <c r="A55">
        <v>54</v>
      </c>
      <c r="B55" t="s">
        <v>300</v>
      </c>
      <c r="C55" s="15">
        <v>4.8</v>
      </c>
      <c r="D55" s="15">
        <v>8.6999999999999993</v>
      </c>
      <c r="E55" s="15">
        <v>52</v>
      </c>
      <c r="F55" s="15">
        <v>8.9</v>
      </c>
      <c r="G55" s="15">
        <v>4.5999999999999996</v>
      </c>
      <c r="H55" s="15">
        <v>1.53</v>
      </c>
      <c r="I55" s="16">
        <v>28.205128205128204</v>
      </c>
      <c r="J55" s="16">
        <v>276.66666666666669</v>
      </c>
      <c r="K55" s="15">
        <v>0.31100000000000005</v>
      </c>
      <c r="L55">
        <v>0</v>
      </c>
    </row>
    <row r="56" spans="1:12" ht="15.75" customHeight="1">
      <c r="A56">
        <v>55</v>
      </c>
      <c r="B56" t="s">
        <v>301</v>
      </c>
      <c r="C56" s="15">
        <v>4.4000000000000004</v>
      </c>
      <c r="D56" s="15">
        <v>7.3</v>
      </c>
      <c r="E56" s="15">
        <v>60</v>
      </c>
      <c r="F56" s="15">
        <v>5.6</v>
      </c>
      <c r="G56" s="15">
        <v>5.3</v>
      </c>
      <c r="H56" s="15">
        <v>3.58</v>
      </c>
      <c r="I56" s="16">
        <v>28.205128205128204</v>
      </c>
      <c r="J56" s="15">
        <v>350</v>
      </c>
      <c r="K56" s="15">
        <v>0.24700000000000003</v>
      </c>
      <c r="L56">
        <v>0</v>
      </c>
    </row>
    <row r="57" spans="1:12" ht="15.75" customHeight="1">
      <c r="A57">
        <v>56</v>
      </c>
      <c r="B57" t="s">
        <v>302</v>
      </c>
      <c r="C57" s="15">
        <v>7.6</v>
      </c>
      <c r="D57" s="15">
        <v>6.8</v>
      </c>
      <c r="E57" s="15">
        <v>57</v>
      </c>
      <c r="F57" s="15">
        <v>7.7</v>
      </c>
      <c r="G57" s="15">
        <v>8</v>
      </c>
      <c r="H57" s="15">
        <v>2.0499999999999998</v>
      </c>
      <c r="I57" s="16">
        <v>28.205128205128204</v>
      </c>
      <c r="J57" s="15">
        <v>320</v>
      </c>
      <c r="K57" s="15">
        <v>0.33900000000000008</v>
      </c>
      <c r="L57">
        <v>0</v>
      </c>
    </row>
    <row r="58" spans="1:12" ht="15.75" customHeight="1">
      <c r="A58">
        <v>57</v>
      </c>
      <c r="B58" t="s">
        <v>303</v>
      </c>
      <c r="C58" s="15">
        <v>4.8</v>
      </c>
      <c r="D58" s="15">
        <v>8</v>
      </c>
      <c r="E58" s="15">
        <v>47</v>
      </c>
      <c r="F58" s="15">
        <v>7.7</v>
      </c>
      <c r="G58" s="15">
        <v>7.8</v>
      </c>
      <c r="H58" s="15">
        <v>2.0499999999999998</v>
      </c>
      <c r="I58" s="16">
        <v>28.205128205128204</v>
      </c>
      <c r="J58" s="15">
        <v>150</v>
      </c>
      <c r="K58" s="15">
        <v>0.15000000000000002</v>
      </c>
      <c r="L58">
        <v>0</v>
      </c>
    </row>
    <row r="59" spans="1:12" ht="15.75" customHeight="1">
      <c r="A59">
        <v>58</v>
      </c>
      <c r="B59" t="s">
        <v>304</v>
      </c>
      <c r="C59" s="15">
        <v>5.2</v>
      </c>
      <c r="D59" s="15">
        <v>8</v>
      </c>
      <c r="E59" s="15">
        <v>47</v>
      </c>
      <c r="F59" s="15">
        <v>6.4</v>
      </c>
      <c r="G59" s="17">
        <v>5.3</v>
      </c>
      <c r="H59" s="15">
        <v>2.56</v>
      </c>
      <c r="I59" s="16">
        <v>28.205128205128204</v>
      </c>
      <c r="J59" s="15">
        <v>240</v>
      </c>
      <c r="K59" s="15">
        <v>0.20800000000000002</v>
      </c>
      <c r="L59">
        <v>0</v>
      </c>
    </row>
    <row r="60" spans="1:12" ht="15.75" customHeight="1">
      <c r="A60">
        <v>59</v>
      </c>
      <c r="B60" t="s">
        <v>305</v>
      </c>
      <c r="C60" s="15">
        <v>9.6</v>
      </c>
      <c r="D60" s="15">
        <v>4.5999999999999996</v>
      </c>
      <c r="E60" s="15">
        <v>52</v>
      </c>
      <c r="F60" s="15">
        <v>5.6</v>
      </c>
      <c r="G60" s="15">
        <v>6.26</v>
      </c>
      <c r="H60" s="15">
        <v>4.0999999999999996</v>
      </c>
      <c r="I60" s="16">
        <v>25.641025641025642</v>
      </c>
      <c r="J60" s="15">
        <v>210</v>
      </c>
      <c r="K60" s="15">
        <v>0.19400000000000001</v>
      </c>
      <c r="L60">
        <v>0</v>
      </c>
    </row>
    <row r="61" spans="1:12" ht="15.75" customHeight="1">
      <c r="A61">
        <v>60</v>
      </c>
      <c r="B61" t="s">
        <v>306</v>
      </c>
      <c r="C61" s="15">
        <v>6.4</v>
      </c>
      <c r="D61" s="15">
        <v>10.7</v>
      </c>
      <c r="E61" s="15">
        <v>52</v>
      </c>
      <c r="F61" s="15">
        <v>11.5</v>
      </c>
      <c r="G61" s="15">
        <v>5.5</v>
      </c>
      <c r="H61" s="15">
        <v>2.0499999999999998</v>
      </c>
      <c r="I61" s="16">
        <v>30.76923076923077</v>
      </c>
      <c r="J61" s="15">
        <v>300</v>
      </c>
      <c r="K61" s="15">
        <v>0.17500000000000002</v>
      </c>
      <c r="L61">
        <v>0</v>
      </c>
    </row>
    <row r="62" spans="1:12" ht="15.75" customHeight="1">
      <c r="A62">
        <v>61</v>
      </c>
      <c r="B62" t="s">
        <v>307</v>
      </c>
      <c r="C62" s="15">
        <v>4.8</v>
      </c>
      <c r="D62" s="15">
        <v>5.2</v>
      </c>
      <c r="E62" s="15">
        <v>62.2</v>
      </c>
      <c r="F62" s="15">
        <v>6.4</v>
      </c>
      <c r="G62" s="15">
        <v>6.4</v>
      </c>
      <c r="H62" s="15">
        <v>3.08</v>
      </c>
      <c r="I62" s="16">
        <v>21.794871794871796</v>
      </c>
      <c r="J62" s="15">
        <v>300</v>
      </c>
      <c r="K62" s="15">
        <v>0.18099999999999999</v>
      </c>
      <c r="L62">
        <v>0</v>
      </c>
    </row>
    <row r="63" spans="1:12" ht="15.75" customHeight="1">
      <c r="A63">
        <v>62</v>
      </c>
      <c r="B63" t="s">
        <v>308</v>
      </c>
      <c r="C63" s="15">
        <v>6</v>
      </c>
      <c r="D63" s="15">
        <v>4.7</v>
      </c>
      <c r="E63" s="15">
        <v>73</v>
      </c>
      <c r="F63" s="15">
        <v>8.9</v>
      </c>
      <c r="G63" s="15">
        <v>5.8</v>
      </c>
      <c r="H63" s="15">
        <v>3.08</v>
      </c>
      <c r="I63" s="16">
        <v>28.205128205128204</v>
      </c>
      <c r="J63" s="15">
        <v>400</v>
      </c>
      <c r="K63" s="15">
        <v>0.17700000000000002</v>
      </c>
      <c r="L63">
        <v>0</v>
      </c>
    </row>
    <row r="64" spans="1:12" ht="15.75" customHeight="1">
      <c r="A64">
        <v>63</v>
      </c>
      <c r="B64" t="s">
        <v>309</v>
      </c>
      <c r="C64" s="15">
        <v>6</v>
      </c>
      <c r="D64" s="15">
        <v>6</v>
      </c>
      <c r="E64" s="15">
        <v>73</v>
      </c>
      <c r="F64" s="15">
        <v>8.9</v>
      </c>
      <c r="G64" s="15">
        <v>7.6</v>
      </c>
      <c r="H64" s="15">
        <v>2.56</v>
      </c>
      <c r="I64" s="16">
        <v>21.794871794871796</v>
      </c>
      <c r="J64" s="15">
        <v>290</v>
      </c>
      <c r="K64" s="15">
        <v>0.28100000000000003</v>
      </c>
      <c r="L64">
        <v>0</v>
      </c>
    </row>
    <row r="65" spans="1:12" ht="15.75" customHeight="1">
      <c r="A65">
        <v>64</v>
      </c>
      <c r="B65" t="s">
        <v>310</v>
      </c>
      <c r="C65" s="15">
        <v>6</v>
      </c>
      <c r="D65" s="15">
        <v>6</v>
      </c>
      <c r="E65" s="15">
        <v>73</v>
      </c>
      <c r="F65" s="15">
        <v>8.9</v>
      </c>
      <c r="G65" s="15">
        <v>6.26</v>
      </c>
      <c r="H65" s="15">
        <v>4.0999999999999996</v>
      </c>
      <c r="I65" s="16">
        <v>25.641025641025642</v>
      </c>
      <c r="J65" s="15">
        <v>170</v>
      </c>
      <c r="K65" s="15">
        <v>0.189</v>
      </c>
      <c r="L65">
        <v>0</v>
      </c>
    </row>
    <row r="66" spans="1:12" ht="15.75" customHeight="1">
      <c r="A66">
        <v>65</v>
      </c>
      <c r="B66" t="s">
        <v>311</v>
      </c>
      <c r="C66" s="15">
        <v>2</v>
      </c>
      <c r="D66" s="15">
        <v>5.4</v>
      </c>
      <c r="E66" s="15">
        <v>65</v>
      </c>
      <c r="F66" s="15">
        <v>4.2</v>
      </c>
      <c r="G66" s="15">
        <v>6.26</v>
      </c>
      <c r="H66" s="16">
        <v>3.1466666666666665</v>
      </c>
      <c r="I66" s="16">
        <v>35.897435897435898</v>
      </c>
      <c r="J66" s="15">
        <v>380</v>
      </c>
      <c r="K66" s="15">
        <v>0.17500000000000002</v>
      </c>
      <c r="L66">
        <v>0</v>
      </c>
    </row>
    <row r="67" spans="1:12" ht="15.75" customHeight="1">
      <c r="A67">
        <v>66</v>
      </c>
      <c r="B67" t="s">
        <v>312</v>
      </c>
      <c r="C67" s="15">
        <v>1.6</v>
      </c>
      <c r="D67" s="15">
        <v>5.2</v>
      </c>
      <c r="E67" s="15">
        <v>65</v>
      </c>
      <c r="F67" s="15">
        <v>4.2</v>
      </c>
      <c r="G67" s="15">
        <v>6.26</v>
      </c>
      <c r="H67" s="15">
        <v>3.08</v>
      </c>
      <c r="I67" s="16">
        <v>23.076923076923077</v>
      </c>
      <c r="J67" s="15">
        <v>240</v>
      </c>
      <c r="K67" s="15">
        <v>0.25600000000000001</v>
      </c>
      <c r="L67">
        <v>0</v>
      </c>
    </row>
    <row r="68" spans="1:12" ht="15.75" customHeight="1">
      <c r="A68">
        <v>67</v>
      </c>
      <c r="B68" t="s">
        <v>313</v>
      </c>
      <c r="C68" s="15">
        <v>4.5999999999999996</v>
      </c>
      <c r="D68" s="15">
        <v>4</v>
      </c>
      <c r="E68" s="15">
        <v>70</v>
      </c>
      <c r="F68" s="15">
        <v>5.6</v>
      </c>
      <c r="G68" s="15">
        <v>6.26</v>
      </c>
      <c r="H68" s="15">
        <v>3.08</v>
      </c>
      <c r="I68" s="16">
        <v>33.333333333333336</v>
      </c>
      <c r="J68" s="15">
        <v>250</v>
      </c>
      <c r="K68" s="15">
        <v>0.30300000000000005</v>
      </c>
      <c r="L68">
        <v>0</v>
      </c>
    </row>
    <row r="69" spans="1:12" ht="15.75" customHeight="1">
      <c r="A69">
        <v>68</v>
      </c>
      <c r="B69" t="s">
        <v>314</v>
      </c>
      <c r="C69" s="15">
        <v>0.8</v>
      </c>
      <c r="D69" s="15">
        <v>4</v>
      </c>
      <c r="E69" s="15">
        <v>67.400000000000006</v>
      </c>
      <c r="F69" s="15">
        <v>6.4</v>
      </c>
      <c r="G69" s="15">
        <v>6.26</v>
      </c>
      <c r="H69" s="15">
        <v>6.2</v>
      </c>
      <c r="I69" s="16">
        <v>34.615384615384613</v>
      </c>
      <c r="J69" s="15">
        <v>310</v>
      </c>
      <c r="K69" s="15">
        <v>0.31100000000000005</v>
      </c>
      <c r="L69">
        <v>0</v>
      </c>
    </row>
    <row r="70" spans="1:12" ht="15.75" customHeight="1">
      <c r="A70">
        <v>69</v>
      </c>
      <c r="B70" t="s">
        <v>315</v>
      </c>
      <c r="C70" s="15">
        <v>2</v>
      </c>
      <c r="D70" s="15">
        <v>4.7</v>
      </c>
      <c r="E70" s="15">
        <v>60</v>
      </c>
      <c r="F70" s="15">
        <v>6.7</v>
      </c>
      <c r="G70" s="15">
        <v>6.26</v>
      </c>
      <c r="H70" s="15">
        <v>4.0999999999999996</v>
      </c>
      <c r="I70" s="16">
        <v>28.205128205128204</v>
      </c>
      <c r="J70" s="15">
        <v>240</v>
      </c>
      <c r="K70" s="15">
        <v>0.497</v>
      </c>
      <c r="L70">
        <v>0</v>
      </c>
    </row>
    <row r="71" spans="1:12" ht="15.75" customHeight="1">
      <c r="A71">
        <v>70</v>
      </c>
      <c r="B71" t="s">
        <v>316</v>
      </c>
      <c r="C71" s="15">
        <v>1.2</v>
      </c>
      <c r="D71" s="15">
        <v>4.7</v>
      </c>
      <c r="E71" s="15">
        <v>72.599999999999994</v>
      </c>
      <c r="F71" s="15">
        <v>3.5</v>
      </c>
      <c r="G71" s="17">
        <v>5.9</v>
      </c>
      <c r="H71" s="15">
        <v>3.08</v>
      </c>
      <c r="I71" s="16">
        <v>28.205128205128204</v>
      </c>
      <c r="J71" s="16">
        <v>295</v>
      </c>
      <c r="K71" s="15">
        <v>0.27200000000000002</v>
      </c>
      <c r="L71">
        <v>1</v>
      </c>
    </row>
    <row r="72" spans="1:12" ht="15.75" customHeight="1">
      <c r="A72">
        <v>71</v>
      </c>
      <c r="B72" t="s">
        <v>317</v>
      </c>
      <c r="C72" s="15">
        <v>1.6</v>
      </c>
      <c r="D72" s="15">
        <v>4</v>
      </c>
      <c r="E72" s="15">
        <v>72.599999999999994</v>
      </c>
      <c r="F72" s="15">
        <v>3.5</v>
      </c>
      <c r="G72" s="15">
        <v>4.5999999999999996</v>
      </c>
      <c r="H72" s="15">
        <v>1.03</v>
      </c>
      <c r="I72" s="16">
        <v>30.76923076923077</v>
      </c>
      <c r="J72" s="16">
        <v>170</v>
      </c>
      <c r="K72" s="15">
        <v>0.27500000000000002</v>
      </c>
      <c r="L72">
        <v>1</v>
      </c>
    </row>
    <row r="73" spans="1:12" ht="15.75" customHeight="1">
      <c r="A73">
        <v>72</v>
      </c>
      <c r="B73" t="s">
        <v>318</v>
      </c>
      <c r="C73" s="15">
        <v>0.8</v>
      </c>
      <c r="D73" s="15">
        <v>6</v>
      </c>
      <c r="E73" s="15">
        <v>75.2</v>
      </c>
      <c r="F73" s="15">
        <v>4.9000000000000004</v>
      </c>
      <c r="G73" s="15">
        <v>4.9000000000000004</v>
      </c>
      <c r="H73" s="15">
        <v>2.0499999999999998</v>
      </c>
      <c r="I73" s="16">
        <v>23.076923076923077</v>
      </c>
      <c r="J73" s="16">
        <v>235.41666666666666</v>
      </c>
      <c r="K73" s="16">
        <v>0.27153333333333335</v>
      </c>
      <c r="L73">
        <v>1</v>
      </c>
    </row>
    <row r="74" spans="1:12" ht="15.75" customHeight="1">
      <c r="A74">
        <v>73</v>
      </c>
      <c r="B74" t="s">
        <v>319</v>
      </c>
      <c r="C74" s="15">
        <v>2</v>
      </c>
      <c r="D74" s="15">
        <v>5.3</v>
      </c>
      <c r="E74" s="15">
        <v>75.2</v>
      </c>
      <c r="F74" s="15">
        <v>5.5</v>
      </c>
      <c r="G74" s="15">
        <v>3.3</v>
      </c>
      <c r="H74" s="15">
        <v>1.53</v>
      </c>
      <c r="I74" s="16">
        <v>30.76923076923077</v>
      </c>
      <c r="J74" s="16">
        <v>235.41666666666666</v>
      </c>
      <c r="K74" s="15">
        <v>0.27200000000000002</v>
      </c>
      <c r="L74">
        <v>1</v>
      </c>
    </row>
    <row r="75" spans="1:12" ht="15.75" customHeight="1">
      <c r="A75">
        <v>74</v>
      </c>
      <c r="B75" t="s">
        <v>320</v>
      </c>
      <c r="C75" s="15">
        <v>2</v>
      </c>
      <c r="D75" s="15">
        <v>5.3</v>
      </c>
      <c r="E75" s="15">
        <v>75.2</v>
      </c>
      <c r="F75" s="15">
        <v>4.9000000000000004</v>
      </c>
      <c r="G75" s="15">
        <v>5.8</v>
      </c>
      <c r="H75" s="15">
        <v>1.03</v>
      </c>
      <c r="I75" s="16">
        <v>29.487179487179485</v>
      </c>
      <c r="J75" s="16">
        <v>270</v>
      </c>
      <c r="K75" s="15">
        <v>0.21100000000000002</v>
      </c>
      <c r="L75">
        <v>1</v>
      </c>
    </row>
    <row r="76" spans="1:12" ht="15.75" customHeight="1">
      <c r="A76">
        <v>75</v>
      </c>
      <c r="B76" t="s">
        <v>321</v>
      </c>
      <c r="C76" s="15">
        <v>1.2</v>
      </c>
      <c r="D76" s="15">
        <v>5.3</v>
      </c>
      <c r="E76" s="15">
        <v>77.8</v>
      </c>
      <c r="F76" s="15">
        <v>4.9000000000000004</v>
      </c>
      <c r="G76" s="15">
        <v>4.0999999999999996</v>
      </c>
      <c r="H76" s="15">
        <v>1.53</v>
      </c>
      <c r="I76" s="16">
        <v>23.076923076923077</v>
      </c>
      <c r="J76" s="16">
        <v>190</v>
      </c>
      <c r="K76" s="15">
        <v>0.27200000000000002</v>
      </c>
      <c r="L76">
        <v>1</v>
      </c>
    </row>
    <row r="77" spans="1:12" ht="15.75" customHeight="1">
      <c r="A77">
        <v>76</v>
      </c>
      <c r="B77" t="s">
        <v>322</v>
      </c>
      <c r="C77" s="15">
        <v>0.8</v>
      </c>
      <c r="D77" s="15">
        <v>5.3</v>
      </c>
      <c r="E77" s="15">
        <v>75.2</v>
      </c>
      <c r="F77" s="15">
        <v>4.2</v>
      </c>
      <c r="G77" s="15">
        <v>4.0999999999999996</v>
      </c>
      <c r="H77" s="15">
        <v>1.53</v>
      </c>
      <c r="I77" s="16">
        <v>25.641025641025642</v>
      </c>
      <c r="J77" s="16">
        <v>220</v>
      </c>
      <c r="K77" s="15">
        <v>0.17500000000000002</v>
      </c>
      <c r="L77">
        <v>1</v>
      </c>
    </row>
    <row r="78" spans="1:12" ht="15.75" customHeight="1">
      <c r="A78">
        <v>77</v>
      </c>
      <c r="B78" t="s">
        <v>323</v>
      </c>
      <c r="C78" s="15">
        <v>1.2</v>
      </c>
      <c r="D78" s="15">
        <v>5.3</v>
      </c>
      <c r="E78" s="15">
        <v>77.8</v>
      </c>
      <c r="F78" s="15">
        <v>4.2</v>
      </c>
      <c r="G78" s="15">
        <v>3.6</v>
      </c>
      <c r="H78" s="15">
        <v>1.53</v>
      </c>
      <c r="I78" s="16">
        <v>20.512820512820515</v>
      </c>
      <c r="J78" s="16">
        <v>290</v>
      </c>
      <c r="K78" s="15">
        <v>0.18099999999999999</v>
      </c>
      <c r="L78">
        <v>1</v>
      </c>
    </row>
    <row r="79" spans="1:12" ht="15.75" customHeight="1">
      <c r="A79">
        <v>78</v>
      </c>
      <c r="B79" t="s">
        <v>324</v>
      </c>
      <c r="C79" s="15">
        <v>2</v>
      </c>
      <c r="D79" s="15">
        <v>4.5999999999999996</v>
      </c>
      <c r="E79" s="15">
        <v>59</v>
      </c>
      <c r="F79" s="15">
        <v>5.6</v>
      </c>
      <c r="G79" s="15">
        <v>4.3</v>
      </c>
      <c r="H79" s="15">
        <v>1.53</v>
      </c>
      <c r="I79" s="16">
        <v>25.641025641025642</v>
      </c>
      <c r="J79" s="16">
        <v>240</v>
      </c>
      <c r="K79" s="15">
        <v>0.63100000000000012</v>
      </c>
      <c r="L79">
        <v>1</v>
      </c>
    </row>
    <row r="80" spans="1:12" ht="15.75" customHeight="1">
      <c r="A80">
        <v>79</v>
      </c>
      <c r="B80" t="s">
        <v>325</v>
      </c>
      <c r="C80" s="15">
        <v>1.6</v>
      </c>
      <c r="D80" s="15">
        <v>6.3</v>
      </c>
      <c r="E80" s="15">
        <v>85</v>
      </c>
      <c r="F80" s="15">
        <v>5.6</v>
      </c>
      <c r="G80" s="15">
        <v>6.8</v>
      </c>
      <c r="H80" s="15">
        <v>1.53</v>
      </c>
      <c r="I80" s="16">
        <v>20.512820512820515</v>
      </c>
      <c r="J80" s="16">
        <v>195</v>
      </c>
      <c r="K80" s="15">
        <v>0.27500000000000002</v>
      </c>
      <c r="L80">
        <v>1</v>
      </c>
    </row>
    <row r="81" spans="1:12" ht="15.75" customHeight="1">
      <c r="A81">
        <v>80</v>
      </c>
      <c r="B81" t="s">
        <v>326</v>
      </c>
      <c r="C81" s="15">
        <v>1.6</v>
      </c>
      <c r="D81" s="15">
        <v>5.8</v>
      </c>
      <c r="E81" s="15">
        <v>74</v>
      </c>
      <c r="F81" s="15">
        <v>6.7</v>
      </c>
      <c r="G81" s="15">
        <v>2.2999999999999998</v>
      </c>
      <c r="H81" s="15">
        <v>1.53</v>
      </c>
      <c r="I81" s="16">
        <v>21.794871794871796</v>
      </c>
      <c r="J81" s="16">
        <v>185</v>
      </c>
      <c r="K81" s="15">
        <v>0.24200000000000002</v>
      </c>
      <c r="L81">
        <v>1</v>
      </c>
    </row>
    <row r="82" spans="1:12" ht="15.75" customHeight="1">
      <c r="A82">
        <v>81</v>
      </c>
      <c r="B82" t="s">
        <v>327</v>
      </c>
      <c r="C82" s="15">
        <v>0.8</v>
      </c>
      <c r="D82" s="15">
        <v>5.4</v>
      </c>
      <c r="E82" s="15">
        <v>70</v>
      </c>
      <c r="F82" s="15">
        <v>5.6</v>
      </c>
      <c r="G82" s="15">
        <v>2</v>
      </c>
      <c r="H82" s="15">
        <v>2.56</v>
      </c>
      <c r="I82" s="16">
        <v>33.333333333333336</v>
      </c>
      <c r="J82" s="16">
        <v>340</v>
      </c>
      <c r="K82" s="15">
        <v>0.4</v>
      </c>
      <c r="L82">
        <v>1</v>
      </c>
    </row>
    <row r="83" spans="1:12" ht="15.75" customHeight="1">
      <c r="A83">
        <v>82</v>
      </c>
      <c r="B83" t="s">
        <v>328</v>
      </c>
      <c r="C83" s="15">
        <v>2</v>
      </c>
      <c r="D83" s="15">
        <v>5.8</v>
      </c>
      <c r="E83" s="15">
        <v>77</v>
      </c>
      <c r="F83" s="15">
        <v>7.7</v>
      </c>
      <c r="G83" s="15">
        <v>5.3</v>
      </c>
      <c r="H83" s="15">
        <v>2.56</v>
      </c>
      <c r="I83" s="16">
        <v>30.76923076923077</v>
      </c>
      <c r="J83" s="16">
        <v>230</v>
      </c>
      <c r="K83" s="15">
        <v>0.19700000000000001</v>
      </c>
      <c r="L83">
        <v>1</v>
      </c>
    </row>
    <row r="84" spans="1:12" ht="15.75" customHeight="1">
      <c r="A84">
        <v>83</v>
      </c>
      <c r="B84" t="s">
        <v>329</v>
      </c>
      <c r="C84" s="15">
        <v>0.8</v>
      </c>
      <c r="D84" s="15">
        <v>4.5999999999999996</v>
      </c>
      <c r="E84" s="15">
        <v>77</v>
      </c>
      <c r="F84" s="15">
        <v>6.7</v>
      </c>
      <c r="G84" s="15">
        <v>3.8</v>
      </c>
      <c r="H84" s="15">
        <v>1.53</v>
      </c>
      <c r="I84" s="16">
        <v>33.333333333333336</v>
      </c>
      <c r="J84" s="16">
        <v>235.41666666666666</v>
      </c>
      <c r="K84" s="15">
        <v>0.18099999999999999</v>
      </c>
      <c r="L84">
        <v>1</v>
      </c>
    </row>
    <row r="85" spans="1:12" ht="15.75" customHeight="1">
      <c r="A85">
        <v>84</v>
      </c>
      <c r="B85" t="s">
        <v>330</v>
      </c>
      <c r="C85" s="15">
        <v>0.8</v>
      </c>
      <c r="D85" s="15">
        <v>5.4</v>
      </c>
      <c r="E85" s="15">
        <v>74</v>
      </c>
      <c r="F85" s="15">
        <v>6.7</v>
      </c>
      <c r="G85" s="15">
        <v>3.3</v>
      </c>
      <c r="H85" s="15">
        <v>1.53</v>
      </c>
      <c r="I85" s="16">
        <v>30.76923076923077</v>
      </c>
      <c r="J85" s="16">
        <v>235.41666666666663</v>
      </c>
      <c r="K85" s="15">
        <v>0.22800000000000001</v>
      </c>
      <c r="L85">
        <v>1</v>
      </c>
    </row>
    <row r="86" spans="1:12" ht="15.75" customHeight="1"/>
    <row r="87" spans="1:12" ht="15.75" customHeight="1"/>
    <row r="88" spans="1:12" ht="15.75" customHeight="1"/>
    <row r="89" spans="1:12" ht="15.75" customHeight="1"/>
    <row r="90" spans="1:12" ht="15.75" customHeight="1"/>
    <row r="91" spans="1:12" ht="15.75" customHeight="1"/>
    <row r="92" spans="1:12" ht="15.75" customHeight="1"/>
    <row r="93" spans="1:12" ht="15.75" customHeight="1"/>
    <row r="94" spans="1:12" ht="15.75" customHeight="1"/>
    <row r="95" spans="1:12" ht="15.75" customHeight="1"/>
    <row r="96" spans="1:12" ht="15.75" customHeight="1"/>
    <row r="97" spans="3:11" ht="15.75" customHeight="1">
      <c r="C97" s="15"/>
      <c r="D97" s="15"/>
      <c r="E97" s="15"/>
      <c r="F97" s="15"/>
      <c r="G97" s="17"/>
      <c r="H97" s="15"/>
      <c r="I97" s="16"/>
      <c r="J97" s="15"/>
      <c r="K97" s="15"/>
    </row>
    <row r="98" spans="3:11" ht="15.75" customHeight="1">
      <c r="C98" s="10"/>
      <c r="D98" s="13"/>
      <c r="E98" s="15"/>
      <c r="F98" s="15"/>
      <c r="G98" s="15"/>
      <c r="H98" s="15"/>
      <c r="I98" s="15"/>
      <c r="J98" s="15"/>
      <c r="K98" s="15"/>
    </row>
    <row r="99" spans="3:11" ht="15.75" customHeight="1">
      <c r="C99" s="10"/>
      <c r="D99" s="13"/>
      <c r="E99" s="15"/>
      <c r="F99" s="15"/>
      <c r="G99" s="15"/>
      <c r="H99" s="15"/>
      <c r="I99" s="15"/>
      <c r="J99" s="15"/>
      <c r="K99" s="15"/>
    </row>
    <row r="100" spans="3:11" ht="15.75" customHeight="1">
      <c r="C100" s="10"/>
      <c r="D100" s="13"/>
      <c r="E100" s="15"/>
      <c r="F100" s="15"/>
      <c r="G100" s="15"/>
      <c r="H100" s="15"/>
      <c r="I100" s="15"/>
      <c r="J100" s="15"/>
      <c r="K100" s="15"/>
    </row>
    <row r="101" spans="3:11" ht="15.75" customHeight="1">
      <c r="C101" s="10"/>
      <c r="D101" s="13"/>
      <c r="E101" s="15"/>
      <c r="F101" s="15"/>
      <c r="G101" s="15"/>
      <c r="H101" s="15"/>
      <c r="I101" s="15"/>
      <c r="J101" s="15"/>
      <c r="K101" s="15"/>
    </row>
    <row r="102" spans="3:11" ht="15.75" customHeight="1">
      <c r="C102" s="10"/>
      <c r="D102" s="13"/>
      <c r="E102" s="15"/>
      <c r="F102" s="15"/>
      <c r="G102" s="15"/>
      <c r="H102" s="15"/>
      <c r="I102" s="15"/>
      <c r="J102" s="15"/>
      <c r="K102" s="15"/>
    </row>
    <row r="103" spans="3:11" ht="15.75" customHeight="1">
      <c r="C103" s="10"/>
      <c r="D103" s="13"/>
      <c r="E103" s="15"/>
      <c r="F103" s="15"/>
      <c r="G103" s="15"/>
      <c r="H103" s="15"/>
      <c r="I103" s="15"/>
      <c r="J103" s="15"/>
      <c r="K103" s="15"/>
    </row>
    <row r="104" spans="3:11" ht="15.75" customHeight="1">
      <c r="C104" s="10"/>
      <c r="D104" s="13"/>
      <c r="E104" s="15"/>
      <c r="F104" s="15"/>
      <c r="G104" s="15"/>
      <c r="H104" s="15"/>
      <c r="I104" s="15"/>
      <c r="J104" s="15"/>
      <c r="K104" s="15"/>
    </row>
    <row r="105" spans="3:11" ht="15.75" customHeight="1">
      <c r="C105" s="10"/>
      <c r="D105" s="13"/>
      <c r="E105" s="15"/>
      <c r="F105" s="15"/>
      <c r="G105" s="15"/>
      <c r="H105" s="15"/>
      <c r="I105" s="15"/>
      <c r="J105" s="15"/>
      <c r="K105" s="15"/>
    </row>
    <row r="106" spans="3:11" ht="15.75" customHeight="1">
      <c r="C106" s="10"/>
      <c r="D106" s="13"/>
      <c r="E106" s="15"/>
      <c r="F106" s="15"/>
      <c r="G106" s="15"/>
      <c r="H106" s="15"/>
      <c r="I106" s="15"/>
      <c r="J106" s="15"/>
      <c r="K106" s="15"/>
    </row>
    <row r="107" spans="3:11" ht="15.75" customHeight="1">
      <c r="C107" s="10"/>
      <c r="D107" s="13"/>
      <c r="E107" s="15"/>
      <c r="F107" s="15"/>
      <c r="G107" s="15"/>
      <c r="H107" s="15"/>
      <c r="I107" s="15"/>
      <c r="J107" s="15"/>
      <c r="K107" s="15"/>
    </row>
    <row r="108" spans="3:11" ht="15.75" customHeight="1">
      <c r="C108" s="10"/>
      <c r="D108" s="13"/>
      <c r="E108" s="15"/>
      <c r="F108" s="15"/>
      <c r="G108" s="15"/>
      <c r="H108" s="15"/>
      <c r="I108" s="15"/>
      <c r="J108" s="15"/>
      <c r="K108" s="15"/>
    </row>
    <row r="109" spans="3:11" ht="15.75" customHeight="1">
      <c r="C109" s="10"/>
      <c r="D109" s="13"/>
      <c r="E109" s="15"/>
      <c r="F109" s="15"/>
      <c r="G109" s="15"/>
      <c r="H109" s="15"/>
      <c r="I109" s="15"/>
      <c r="J109" s="15"/>
      <c r="K109" s="15"/>
    </row>
    <row r="110" spans="3:11" ht="15.75" customHeight="1">
      <c r="C110" s="10"/>
      <c r="D110" s="13"/>
      <c r="E110" s="15"/>
      <c r="F110" s="15"/>
      <c r="G110" s="15"/>
      <c r="H110" s="15"/>
      <c r="I110" s="15"/>
      <c r="J110" s="15"/>
      <c r="K110" s="15"/>
    </row>
    <row r="111" spans="3:11" ht="15.75" customHeight="1">
      <c r="C111" s="10"/>
      <c r="D111" s="13"/>
      <c r="E111" s="15"/>
      <c r="F111" s="15"/>
      <c r="G111" s="15"/>
      <c r="H111" s="15"/>
      <c r="I111" s="15"/>
      <c r="J111" s="15"/>
      <c r="K111" s="15"/>
    </row>
    <row r="112" spans="3:11" ht="15.75" customHeight="1">
      <c r="C112" s="10"/>
      <c r="D112" s="13"/>
      <c r="E112" s="15"/>
      <c r="F112" s="15"/>
      <c r="G112" s="15"/>
      <c r="H112" s="15"/>
      <c r="I112" s="15"/>
      <c r="J112" s="15"/>
      <c r="K112" s="15"/>
    </row>
    <row r="113" spans="3:11" ht="15.75" customHeight="1">
      <c r="C113" s="10"/>
      <c r="D113" s="13"/>
      <c r="E113" s="15"/>
      <c r="F113" s="15"/>
      <c r="G113" s="15"/>
      <c r="H113" s="15"/>
      <c r="I113" s="15"/>
      <c r="J113" s="15"/>
      <c r="K113" s="15"/>
    </row>
    <row r="114" spans="3:11" ht="15.75" customHeight="1">
      <c r="C114" s="10"/>
      <c r="D114" s="13"/>
      <c r="E114" s="15"/>
      <c r="F114" s="15"/>
      <c r="G114" s="15"/>
      <c r="H114" s="15"/>
      <c r="I114" s="15"/>
      <c r="J114" s="15"/>
      <c r="K114" s="15"/>
    </row>
    <row r="115" spans="3:11" ht="15.75" customHeight="1">
      <c r="C115" s="10"/>
      <c r="D115" s="13"/>
      <c r="E115" s="15"/>
      <c r="F115" s="15"/>
      <c r="G115" s="15"/>
      <c r="H115" s="15"/>
      <c r="I115" s="15"/>
      <c r="J115" s="15"/>
      <c r="K115" s="15"/>
    </row>
    <row r="116" spans="3:11" ht="15.75" customHeight="1">
      <c r="C116" s="10"/>
      <c r="D116" s="13"/>
      <c r="E116" s="15"/>
      <c r="F116" s="15"/>
      <c r="G116" s="15"/>
      <c r="H116" s="15"/>
      <c r="I116" s="15"/>
      <c r="J116" s="15"/>
      <c r="K116" s="15"/>
    </row>
    <row r="117" spans="3:11" ht="15.75" customHeight="1">
      <c r="C117" s="10"/>
      <c r="D117" s="13"/>
      <c r="E117" s="15"/>
      <c r="F117" s="15"/>
      <c r="G117" s="15"/>
      <c r="H117" s="15"/>
      <c r="I117" s="15"/>
      <c r="J117" s="15"/>
      <c r="K117" s="15"/>
    </row>
    <row r="118" spans="3:11" ht="15.75" customHeight="1">
      <c r="C118" s="10"/>
      <c r="D118" s="13"/>
      <c r="E118" s="15"/>
      <c r="F118" s="15"/>
      <c r="G118" s="15"/>
      <c r="H118" s="15"/>
      <c r="I118" s="15"/>
      <c r="J118" s="15"/>
      <c r="K118" s="15"/>
    </row>
    <row r="119" spans="3:11" ht="15.75" customHeight="1">
      <c r="C119" s="10"/>
      <c r="D119" s="13"/>
      <c r="E119" s="15"/>
      <c r="F119" s="15"/>
      <c r="G119" s="15"/>
      <c r="H119" s="15"/>
      <c r="I119" s="15"/>
      <c r="J119" s="15"/>
      <c r="K119" s="15"/>
    </row>
    <row r="120" spans="3:11" ht="15.75" customHeight="1">
      <c r="C120" s="10"/>
      <c r="D120" s="13"/>
      <c r="E120" s="15"/>
      <c r="F120" s="15"/>
      <c r="G120" s="15"/>
      <c r="H120" s="15"/>
      <c r="I120" s="15"/>
      <c r="J120" s="15"/>
      <c r="K120" s="15"/>
    </row>
    <row r="121" spans="3:11" ht="15.75" customHeight="1">
      <c r="C121" s="10"/>
      <c r="D121" s="13"/>
      <c r="E121" s="15"/>
      <c r="F121" s="15"/>
      <c r="G121" s="15"/>
      <c r="H121" s="15"/>
      <c r="I121" s="15"/>
      <c r="J121" s="15"/>
      <c r="K121" s="15"/>
    </row>
    <row r="122" spans="3:11" ht="15.75" customHeight="1">
      <c r="C122" s="10"/>
      <c r="D122" s="13"/>
      <c r="E122" s="15"/>
      <c r="F122" s="15"/>
      <c r="G122" s="15"/>
      <c r="H122" s="15"/>
      <c r="I122" s="15"/>
      <c r="J122" s="15"/>
      <c r="K122" s="15"/>
    </row>
    <row r="123" spans="3:11" ht="15.75" customHeight="1">
      <c r="C123" s="10"/>
      <c r="D123" s="13"/>
      <c r="E123" s="15"/>
      <c r="F123" s="15"/>
      <c r="G123" s="15"/>
      <c r="H123" s="15"/>
      <c r="I123" s="15"/>
      <c r="J123" s="15"/>
      <c r="K123" s="15"/>
    </row>
    <row r="124" spans="3:11" ht="15.75" customHeight="1">
      <c r="C124" s="10"/>
      <c r="D124" s="13"/>
      <c r="E124" s="15"/>
      <c r="F124" s="15"/>
      <c r="G124" s="15"/>
      <c r="H124" s="15"/>
      <c r="I124" s="15"/>
      <c r="J124" s="15"/>
      <c r="K124" s="15"/>
    </row>
    <row r="125" spans="3:11" ht="15.75" customHeight="1">
      <c r="C125" s="10"/>
      <c r="D125" s="13"/>
      <c r="E125" s="15"/>
      <c r="F125" s="15"/>
      <c r="G125" s="15"/>
      <c r="H125" s="15"/>
      <c r="I125" s="15"/>
      <c r="J125" s="15"/>
      <c r="K125" s="15"/>
    </row>
    <row r="126" spans="3:11" ht="15.75" customHeight="1">
      <c r="C126" s="10"/>
      <c r="D126" s="13"/>
      <c r="E126" s="15"/>
      <c r="F126" s="15"/>
      <c r="G126" s="15"/>
      <c r="H126" s="15"/>
      <c r="I126" s="15"/>
      <c r="J126" s="15"/>
      <c r="K126" s="15"/>
    </row>
    <row r="127" spans="3:11" ht="15.75" customHeight="1">
      <c r="C127" s="10"/>
      <c r="D127" s="13"/>
      <c r="E127" s="15"/>
      <c r="F127" s="15"/>
      <c r="G127" s="15"/>
      <c r="H127" s="15"/>
      <c r="I127" s="15"/>
      <c r="J127" s="15"/>
      <c r="K127" s="15"/>
    </row>
    <row r="128" spans="3:11" ht="15.75" customHeight="1">
      <c r="C128" s="10"/>
      <c r="D128" s="13"/>
      <c r="E128" s="15"/>
      <c r="F128" s="15"/>
      <c r="G128" s="15"/>
      <c r="H128" s="15"/>
      <c r="I128" s="15"/>
      <c r="J128" s="15"/>
      <c r="K128" s="15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3"/>
  <sheetViews>
    <sheetView topLeftCell="A56" zoomScale="115" zoomScaleNormal="115" workbookViewId="0">
      <selection activeCell="K80" sqref="K80"/>
    </sheetView>
  </sheetViews>
  <sheetFormatPr defaultColWidth="14.42578125" defaultRowHeight="15" customHeight="1"/>
  <cols>
    <col min="1" max="2" width="8.7109375" customWidth="1"/>
    <col min="3" max="3" width="12.42578125" customWidth="1"/>
    <col min="4" max="4" width="8.7109375" customWidth="1"/>
    <col min="5" max="5" width="12.5703125" customWidth="1"/>
    <col min="6" max="13" width="8.7109375" customWidth="1"/>
    <col min="14" max="14" width="16.28515625" customWidth="1"/>
    <col min="15" max="16" width="8.7109375" customWidth="1"/>
    <col min="17" max="17" width="12.140625" customWidth="1"/>
    <col min="18" max="23" width="8.7109375" customWidth="1"/>
  </cols>
  <sheetData>
    <row r="1" spans="1:13">
      <c r="A1" s="1" t="s">
        <v>2</v>
      </c>
      <c r="B1" s="1" t="s">
        <v>3</v>
      </c>
      <c r="C1" s="66" t="s">
        <v>100</v>
      </c>
      <c r="D1" s="66" t="s">
        <v>101</v>
      </c>
      <c r="E1" s="66" t="s">
        <v>102</v>
      </c>
      <c r="F1" s="66" t="s">
        <v>103</v>
      </c>
      <c r="G1" s="66" t="s">
        <v>104</v>
      </c>
      <c r="H1" s="65" t="s">
        <v>109</v>
      </c>
      <c r="I1" s="18"/>
      <c r="J1" s="18"/>
      <c r="K1" s="18"/>
      <c r="L1" s="18"/>
      <c r="M1" s="18"/>
    </row>
    <row r="2" spans="1:13">
      <c r="A2">
        <v>1</v>
      </c>
      <c r="B2" t="s">
        <v>111</v>
      </c>
      <c r="C2" s="16">
        <v>18.5</v>
      </c>
      <c r="D2" s="16">
        <v>22.14</v>
      </c>
      <c r="E2" s="16">
        <v>40.32</v>
      </c>
      <c r="F2" s="16">
        <v>9.92</v>
      </c>
      <c r="G2" s="16">
        <v>9.1199999999999992</v>
      </c>
      <c r="H2">
        <v>0</v>
      </c>
      <c r="I2" s="18"/>
      <c r="J2" s="20"/>
      <c r="K2" s="20"/>
      <c r="L2" s="21"/>
      <c r="M2" s="21"/>
    </row>
    <row r="3" spans="1:13">
      <c r="A3">
        <v>2</v>
      </c>
      <c r="B3" t="s">
        <v>184</v>
      </c>
      <c r="C3" s="16">
        <v>13.86</v>
      </c>
      <c r="D3" s="16">
        <v>28.41</v>
      </c>
      <c r="E3" s="16">
        <v>35.159999999999997</v>
      </c>
      <c r="F3" s="16">
        <v>11.68</v>
      </c>
      <c r="G3" s="16">
        <v>10.89</v>
      </c>
      <c r="H3">
        <v>0</v>
      </c>
      <c r="I3" s="23"/>
      <c r="J3" s="23"/>
      <c r="K3" s="23"/>
      <c r="L3" s="24"/>
      <c r="M3" s="24"/>
    </row>
    <row r="4" spans="1:13">
      <c r="A4">
        <v>3</v>
      </c>
      <c r="B4" t="s">
        <v>113</v>
      </c>
      <c r="C4" s="16">
        <v>11.44</v>
      </c>
      <c r="D4" s="16">
        <v>22.15</v>
      </c>
      <c r="E4" s="16">
        <v>41.55</v>
      </c>
      <c r="F4" s="16">
        <v>15.75</v>
      </c>
      <c r="G4" s="16">
        <v>9.11</v>
      </c>
      <c r="H4">
        <v>0</v>
      </c>
      <c r="I4" s="23"/>
      <c r="J4" s="23"/>
      <c r="K4" s="23"/>
      <c r="L4" s="24"/>
      <c r="M4" s="24"/>
    </row>
    <row r="5" spans="1:13">
      <c r="A5">
        <v>4</v>
      </c>
      <c r="B5" t="s">
        <v>114</v>
      </c>
      <c r="C5" s="16">
        <v>16.61</v>
      </c>
      <c r="D5" s="16">
        <v>17.600000000000001</v>
      </c>
      <c r="E5" s="16">
        <v>47.41</v>
      </c>
      <c r="F5" s="16">
        <v>8.68</v>
      </c>
      <c r="G5" s="16">
        <v>9.6999999999999993</v>
      </c>
      <c r="H5">
        <v>0</v>
      </c>
      <c r="I5" s="23"/>
      <c r="J5" s="23"/>
      <c r="K5" s="23"/>
      <c r="L5" s="24"/>
      <c r="M5" s="24"/>
    </row>
    <row r="6" spans="1:13">
      <c r="A6">
        <v>5</v>
      </c>
      <c r="B6" t="s">
        <v>115</v>
      </c>
      <c r="C6" s="16">
        <v>17.11</v>
      </c>
      <c r="D6" s="16">
        <v>38.29</v>
      </c>
      <c r="E6" s="16">
        <v>11.49</v>
      </c>
      <c r="F6" s="16">
        <v>18.14</v>
      </c>
      <c r="G6" s="16">
        <v>14.97</v>
      </c>
      <c r="H6">
        <v>0</v>
      </c>
      <c r="I6" s="23"/>
      <c r="J6" s="23"/>
      <c r="K6" s="23"/>
      <c r="L6" s="24"/>
      <c r="M6" s="24"/>
    </row>
    <row r="7" spans="1:13">
      <c r="A7">
        <v>6</v>
      </c>
      <c r="B7" t="s">
        <v>116</v>
      </c>
      <c r="C7" s="16">
        <v>19.38</v>
      </c>
      <c r="D7" s="16">
        <v>25.68</v>
      </c>
      <c r="E7" s="16">
        <v>30.69</v>
      </c>
      <c r="F7" s="16">
        <v>12.71</v>
      </c>
      <c r="G7" s="16">
        <v>11.54</v>
      </c>
      <c r="H7">
        <v>0</v>
      </c>
      <c r="I7" s="23"/>
    </row>
    <row r="8" spans="1:13">
      <c r="A8">
        <v>7</v>
      </c>
      <c r="B8" t="s">
        <v>117</v>
      </c>
      <c r="C8" s="16">
        <v>15.16</v>
      </c>
      <c r="D8" s="16">
        <v>21.94</v>
      </c>
      <c r="E8" s="16">
        <v>34.21</v>
      </c>
      <c r="F8" s="16">
        <v>13.59</v>
      </c>
      <c r="G8" s="16">
        <v>15.1</v>
      </c>
      <c r="H8">
        <v>0</v>
      </c>
    </row>
    <row r="9" spans="1:13">
      <c r="A9">
        <v>8</v>
      </c>
      <c r="B9" t="s">
        <v>118</v>
      </c>
      <c r="C9" s="16">
        <v>19.670000000000002</v>
      </c>
      <c r="D9" s="16">
        <v>23.96</v>
      </c>
      <c r="E9" s="16">
        <v>17.47</v>
      </c>
      <c r="F9" s="16">
        <v>15.11</v>
      </c>
      <c r="G9" s="16">
        <v>23.79</v>
      </c>
      <c r="H9">
        <v>0</v>
      </c>
      <c r="I9" s="20"/>
    </row>
    <row r="10" spans="1:13">
      <c r="A10">
        <v>9</v>
      </c>
      <c r="B10" t="s">
        <v>119</v>
      </c>
      <c r="C10" s="16">
        <v>13.76</v>
      </c>
      <c r="D10" s="16">
        <v>24.52</v>
      </c>
      <c r="E10" s="16">
        <v>37.78</v>
      </c>
      <c r="F10" s="16">
        <v>15.75</v>
      </c>
      <c r="G10" s="16">
        <v>8.19</v>
      </c>
      <c r="H10">
        <v>0</v>
      </c>
      <c r="I10" s="23"/>
    </row>
    <row r="11" spans="1:13">
      <c r="A11">
        <v>10</v>
      </c>
      <c r="B11" t="s">
        <v>120</v>
      </c>
      <c r="C11" s="16">
        <v>16.93</v>
      </c>
      <c r="D11" s="16">
        <v>24.28</v>
      </c>
      <c r="E11" s="16">
        <v>37.979999999999997</v>
      </c>
      <c r="F11" s="16">
        <v>12.32</v>
      </c>
      <c r="G11" s="16">
        <v>8.49</v>
      </c>
      <c r="H11">
        <v>0</v>
      </c>
      <c r="I11" s="23"/>
    </row>
    <row r="12" spans="1:13">
      <c r="A12">
        <v>11</v>
      </c>
      <c r="B12" t="s">
        <v>121</v>
      </c>
      <c r="C12" s="16">
        <v>18.62</v>
      </c>
      <c r="D12" s="16">
        <v>24.99</v>
      </c>
      <c r="E12" s="16">
        <v>30.09</v>
      </c>
      <c r="F12" s="16">
        <v>17.649999999999999</v>
      </c>
      <c r="G12" s="16">
        <v>8.65</v>
      </c>
      <c r="H12">
        <v>0</v>
      </c>
    </row>
    <row r="13" spans="1:13">
      <c r="A13">
        <v>12</v>
      </c>
      <c r="B13" t="s">
        <v>122</v>
      </c>
      <c r="C13" s="45">
        <v>20.149999999999999</v>
      </c>
      <c r="D13" s="16">
        <v>19.350000000000001</v>
      </c>
      <c r="E13" s="16">
        <v>32.04</v>
      </c>
      <c r="F13" s="16">
        <v>16.170000000000002</v>
      </c>
      <c r="G13" s="16">
        <v>12.29</v>
      </c>
      <c r="H13">
        <v>0</v>
      </c>
      <c r="I13" s="23"/>
      <c r="J13" s="23"/>
      <c r="K13" s="23"/>
      <c r="L13" s="24"/>
      <c r="M13" s="24"/>
    </row>
    <row r="14" spans="1:13" ht="15.75" customHeight="1">
      <c r="A14">
        <v>13</v>
      </c>
      <c r="B14" t="s">
        <v>123</v>
      </c>
      <c r="C14" s="16">
        <v>13.56</v>
      </c>
      <c r="D14" s="16">
        <v>24.33</v>
      </c>
      <c r="E14" s="16">
        <v>33.51</v>
      </c>
      <c r="F14" s="16">
        <v>15</v>
      </c>
      <c r="G14" s="16">
        <v>13.6</v>
      </c>
      <c r="H14">
        <v>0</v>
      </c>
      <c r="I14" s="44"/>
      <c r="J14" s="20"/>
      <c r="K14" s="20"/>
      <c r="L14" s="21"/>
      <c r="M14" s="21"/>
    </row>
    <row r="15" spans="1:13" ht="15.75" customHeight="1">
      <c r="A15">
        <v>14</v>
      </c>
      <c r="B15" t="s">
        <v>124</v>
      </c>
      <c r="C15" s="16">
        <v>15.47</v>
      </c>
      <c r="D15" s="16">
        <v>20.05</v>
      </c>
      <c r="E15" s="16">
        <v>39.74</v>
      </c>
      <c r="F15" s="16">
        <v>13.41</v>
      </c>
      <c r="G15" s="16">
        <v>11.33</v>
      </c>
      <c r="H15">
        <v>0</v>
      </c>
      <c r="I15" s="23"/>
      <c r="J15" s="23"/>
      <c r="K15" s="23"/>
      <c r="L15" s="24"/>
      <c r="M15" s="24"/>
    </row>
    <row r="16" spans="1:13" ht="15.75" customHeight="1">
      <c r="A16">
        <v>15</v>
      </c>
      <c r="B16" t="s">
        <v>125</v>
      </c>
      <c r="C16" s="16">
        <v>22.08</v>
      </c>
      <c r="D16" s="16">
        <v>21.59</v>
      </c>
      <c r="E16" s="16">
        <v>19.260000000000002</v>
      </c>
      <c r="F16" s="16">
        <v>14.86</v>
      </c>
      <c r="G16" s="16">
        <v>22.21</v>
      </c>
      <c r="H16">
        <v>0</v>
      </c>
    </row>
    <row r="17" spans="1:23" ht="15.75" customHeight="1">
      <c r="A17">
        <v>16</v>
      </c>
      <c r="B17" t="s">
        <v>126</v>
      </c>
      <c r="C17" s="16">
        <v>22.57</v>
      </c>
      <c r="D17" s="16">
        <v>19.39</v>
      </c>
      <c r="E17" s="16">
        <v>20.350000000000001</v>
      </c>
      <c r="F17" s="16">
        <v>19.100000000000001</v>
      </c>
      <c r="G17" s="16">
        <v>18.59</v>
      </c>
      <c r="H17">
        <v>0</v>
      </c>
      <c r="I17" s="23"/>
    </row>
    <row r="18" spans="1:23" ht="15.75" customHeight="1">
      <c r="A18">
        <v>17</v>
      </c>
      <c r="B18" t="s">
        <v>127</v>
      </c>
      <c r="C18" s="16">
        <v>19.309999999999999</v>
      </c>
      <c r="D18" s="16">
        <v>24.98</v>
      </c>
      <c r="E18" s="16">
        <v>34.26</v>
      </c>
      <c r="F18" s="16">
        <v>7.48</v>
      </c>
      <c r="G18" s="16">
        <v>13.97</v>
      </c>
      <c r="H18">
        <v>0</v>
      </c>
      <c r="I18" s="20"/>
    </row>
    <row r="19" spans="1:23" ht="15.75" customHeight="1">
      <c r="A19">
        <v>18</v>
      </c>
      <c r="B19" t="s">
        <v>128</v>
      </c>
      <c r="C19" s="16">
        <v>19.38</v>
      </c>
      <c r="D19" s="16">
        <v>21.19</v>
      </c>
      <c r="E19" s="16">
        <v>30.56</v>
      </c>
      <c r="F19" s="16">
        <v>16.48</v>
      </c>
      <c r="G19" s="16">
        <v>12.39</v>
      </c>
      <c r="H19">
        <v>0</v>
      </c>
      <c r="I19" s="20"/>
    </row>
    <row r="20" spans="1:23" ht="15.75" customHeight="1">
      <c r="A20">
        <v>19</v>
      </c>
      <c r="B20" t="s">
        <v>129</v>
      </c>
      <c r="C20" s="16">
        <v>18.2</v>
      </c>
      <c r="D20" s="16">
        <v>21.98</v>
      </c>
      <c r="E20" s="16">
        <v>33.04</v>
      </c>
      <c r="F20" s="16">
        <v>15.82</v>
      </c>
      <c r="G20" s="16">
        <v>10.96</v>
      </c>
      <c r="H20">
        <v>0</v>
      </c>
      <c r="I20" s="23"/>
    </row>
    <row r="21" spans="1:23" ht="15.75" customHeight="1">
      <c r="A21">
        <v>20</v>
      </c>
      <c r="B21" t="s">
        <v>130</v>
      </c>
      <c r="C21" s="16">
        <v>25.13</v>
      </c>
      <c r="D21" s="16">
        <v>19.71</v>
      </c>
      <c r="E21" s="16">
        <v>35.979999999999997</v>
      </c>
      <c r="F21" s="16">
        <v>11.39</v>
      </c>
      <c r="G21" s="16">
        <v>7.79</v>
      </c>
      <c r="H21">
        <v>0</v>
      </c>
      <c r="I21" s="23"/>
    </row>
    <row r="22" spans="1:23" ht="15.75" customHeight="1">
      <c r="A22">
        <v>21</v>
      </c>
      <c r="B22" t="s">
        <v>131</v>
      </c>
      <c r="C22" s="16">
        <v>19.29</v>
      </c>
      <c r="D22" s="16">
        <v>22.2</v>
      </c>
      <c r="E22" s="16">
        <v>39.380000000000003</v>
      </c>
      <c r="F22" s="16">
        <v>10.79</v>
      </c>
      <c r="G22" s="16">
        <v>8.34</v>
      </c>
      <c r="H22">
        <v>0</v>
      </c>
    </row>
    <row r="23" spans="1:23" ht="15.75" customHeight="1">
      <c r="A23">
        <v>22</v>
      </c>
      <c r="B23" t="s">
        <v>132</v>
      </c>
      <c r="C23" s="16">
        <v>15.7</v>
      </c>
      <c r="D23" s="16">
        <v>26.81</v>
      </c>
      <c r="E23" s="16">
        <v>36.4</v>
      </c>
      <c r="F23" s="16">
        <v>14.52</v>
      </c>
      <c r="G23" s="16">
        <v>6.57</v>
      </c>
      <c r="H23">
        <v>0</v>
      </c>
      <c r="I23" s="23"/>
      <c r="J23" s="24"/>
      <c r="K23" s="24"/>
      <c r="S23" s="26"/>
      <c r="T23" s="23"/>
      <c r="U23" s="23"/>
      <c r="V23" s="24"/>
      <c r="W23" s="24"/>
    </row>
    <row r="24" spans="1:23" ht="15.75" customHeight="1">
      <c r="A24">
        <v>23</v>
      </c>
      <c r="B24" t="s">
        <v>133</v>
      </c>
      <c r="C24" s="16">
        <v>14.41</v>
      </c>
      <c r="D24" s="16">
        <v>27.39</v>
      </c>
      <c r="E24" s="16">
        <v>34.869999999999997</v>
      </c>
      <c r="F24" s="16">
        <v>15.48</v>
      </c>
      <c r="G24" s="16">
        <v>7.85</v>
      </c>
      <c r="H24">
        <v>0</v>
      </c>
      <c r="I24" s="23"/>
      <c r="J24" s="24"/>
      <c r="K24" s="24"/>
      <c r="S24" s="26"/>
      <c r="T24" s="23"/>
      <c r="U24" s="23"/>
      <c r="V24" s="24"/>
      <c r="W24" s="24"/>
    </row>
    <row r="25" spans="1:23" ht="15.75" customHeight="1">
      <c r="A25">
        <v>24</v>
      </c>
      <c r="B25" t="s">
        <v>134</v>
      </c>
      <c r="C25" s="16">
        <v>19.63</v>
      </c>
      <c r="D25" s="16">
        <v>24.78</v>
      </c>
      <c r="E25" s="16">
        <v>29.94</v>
      </c>
      <c r="F25" s="16">
        <v>11.44</v>
      </c>
      <c r="G25" s="16">
        <v>14.21</v>
      </c>
      <c r="H25">
        <v>0</v>
      </c>
      <c r="I25" s="23"/>
      <c r="J25" s="28"/>
      <c r="K25" s="24"/>
      <c r="S25" s="19"/>
      <c r="T25" s="20"/>
      <c r="U25" s="20"/>
      <c r="V25" s="31"/>
      <c r="W25" s="21"/>
    </row>
    <row r="26" spans="1:23" ht="15.75" customHeight="1">
      <c r="A26">
        <v>25</v>
      </c>
      <c r="B26" t="s">
        <v>135</v>
      </c>
      <c r="C26" s="16">
        <v>31.87</v>
      </c>
      <c r="D26" s="16">
        <v>17.05</v>
      </c>
      <c r="E26" s="16">
        <v>21.54</v>
      </c>
      <c r="F26" s="16">
        <v>14.68</v>
      </c>
      <c r="G26" s="16">
        <v>14.86</v>
      </c>
      <c r="H26">
        <v>0</v>
      </c>
      <c r="I26" s="23"/>
      <c r="J26" s="24"/>
      <c r="K26" s="24"/>
      <c r="S26" s="19"/>
      <c r="T26" s="20"/>
      <c r="U26" s="20"/>
      <c r="V26" s="21"/>
      <c r="W26" s="21"/>
    </row>
    <row r="27" spans="1:23" ht="15.75" customHeight="1">
      <c r="A27">
        <v>26</v>
      </c>
      <c r="B27" t="s">
        <v>136</v>
      </c>
      <c r="C27" s="16">
        <v>16.399999999999999</v>
      </c>
      <c r="D27" s="16">
        <v>21.66</v>
      </c>
      <c r="E27" s="16">
        <v>26.46</v>
      </c>
      <c r="F27" s="16">
        <v>18.09</v>
      </c>
      <c r="G27" s="16">
        <v>17.39</v>
      </c>
      <c r="H27">
        <v>0</v>
      </c>
      <c r="I27" s="23"/>
      <c r="J27" s="24"/>
      <c r="K27" s="24"/>
      <c r="S27" s="26"/>
      <c r="T27" s="23"/>
      <c r="U27" s="23"/>
      <c r="V27" s="24"/>
      <c r="W27" s="24"/>
    </row>
    <row r="28" spans="1:23" ht="15.75" customHeight="1">
      <c r="A28">
        <v>27</v>
      </c>
      <c r="B28" t="s">
        <v>137</v>
      </c>
      <c r="C28" s="16">
        <v>15.21</v>
      </c>
      <c r="D28" s="16">
        <v>27.02</v>
      </c>
      <c r="E28" s="16">
        <v>36.450000000000003</v>
      </c>
      <c r="F28" s="16">
        <v>11.08</v>
      </c>
      <c r="G28" s="16">
        <v>10.24</v>
      </c>
      <c r="H28">
        <v>0</v>
      </c>
    </row>
    <row r="29" spans="1:23" ht="15.75" customHeight="1">
      <c r="A29">
        <v>28</v>
      </c>
      <c r="B29" t="s">
        <v>138</v>
      </c>
      <c r="C29" s="16">
        <v>15.95</v>
      </c>
      <c r="D29" s="16">
        <v>37.11</v>
      </c>
      <c r="E29" s="16">
        <v>23.45</v>
      </c>
      <c r="F29" s="16">
        <v>11.06</v>
      </c>
      <c r="G29" s="16">
        <v>12.43</v>
      </c>
      <c r="H29">
        <v>0</v>
      </c>
      <c r="J29" s="24"/>
      <c r="K29" s="24"/>
      <c r="S29" s="26"/>
      <c r="T29" s="23"/>
      <c r="U29" s="23"/>
      <c r="V29" s="24"/>
      <c r="W29" s="24"/>
    </row>
    <row r="30" spans="1:23" ht="15.75" customHeight="1">
      <c r="A30">
        <v>29</v>
      </c>
      <c r="B30" t="s">
        <v>139</v>
      </c>
      <c r="C30" s="16">
        <v>22.96</v>
      </c>
      <c r="D30" s="16">
        <v>27.62</v>
      </c>
      <c r="E30" s="16">
        <v>24.94</v>
      </c>
      <c r="F30" s="16">
        <v>10.96</v>
      </c>
      <c r="G30" s="16">
        <v>13.52</v>
      </c>
      <c r="H30">
        <v>0</v>
      </c>
      <c r="I30" s="46"/>
      <c r="J30" s="21"/>
      <c r="K30" s="21"/>
      <c r="S30" s="26"/>
      <c r="T30" s="23"/>
      <c r="U30" s="23"/>
      <c r="V30" s="24"/>
      <c r="W30" s="24"/>
    </row>
    <row r="31" spans="1:23" ht="15.75" customHeight="1">
      <c r="A31">
        <v>30</v>
      </c>
      <c r="B31" t="s">
        <v>140</v>
      </c>
      <c r="C31" s="16">
        <v>17.850000000000001</v>
      </c>
      <c r="D31" s="16">
        <v>24.65</v>
      </c>
      <c r="E31" s="16">
        <v>31.54</v>
      </c>
      <c r="F31" s="16">
        <v>15.14</v>
      </c>
      <c r="G31" s="16">
        <v>10.82</v>
      </c>
      <c r="H31">
        <v>0</v>
      </c>
      <c r="J31" s="24"/>
      <c r="K31" s="24"/>
      <c r="S31" s="26"/>
      <c r="T31" s="23"/>
      <c r="U31" s="23"/>
      <c r="V31" s="24"/>
      <c r="W31" s="24"/>
    </row>
    <row r="32" spans="1:23" ht="15.75" customHeight="1">
      <c r="A32">
        <v>31</v>
      </c>
      <c r="B32" t="s">
        <v>214</v>
      </c>
      <c r="C32" s="16">
        <v>14.92</v>
      </c>
      <c r="D32" s="16">
        <v>16.940000000000001</v>
      </c>
      <c r="E32" s="16">
        <v>27.66</v>
      </c>
      <c r="F32" s="16">
        <v>15.87</v>
      </c>
      <c r="G32" s="16">
        <v>24.61</v>
      </c>
      <c r="H32">
        <v>0</v>
      </c>
      <c r="J32" s="24"/>
      <c r="K32" s="24"/>
      <c r="S32" s="26"/>
      <c r="T32" s="23"/>
      <c r="U32" s="23"/>
      <c r="V32" s="24"/>
      <c r="W32" s="24"/>
    </row>
    <row r="33" spans="1:23" ht="15.75" customHeight="1">
      <c r="A33">
        <v>32</v>
      </c>
      <c r="B33" t="s">
        <v>215</v>
      </c>
      <c r="C33" s="16">
        <v>16.57</v>
      </c>
      <c r="D33" s="16">
        <v>15.78</v>
      </c>
      <c r="E33" s="16">
        <v>20.72</v>
      </c>
      <c r="F33" s="16">
        <v>12.09</v>
      </c>
      <c r="G33" s="16">
        <v>34.840000000000003</v>
      </c>
      <c r="H33">
        <v>0</v>
      </c>
      <c r="J33" s="24"/>
      <c r="K33" s="24"/>
      <c r="O33" s="25"/>
      <c r="P33" s="26"/>
      <c r="Q33" s="24"/>
      <c r="R33" s="26"/>
      <c r="S33" s="26"/>
      <c r="T33" s="23"/>
      <c r="U33" s="23"/>
      <c r="V33" s="24"/>
      <c r="W33" s="24"/>
    </row>
    <row r="34" spans="1:23" ht="15.75" customHeight="1">
      <c r="A34">
        <v>33</v>
      </c>
      <c r="B34" t="s">
        <v>216</v>
      </c>
      <c r="C34" s="16">
        <v>22.08</v>
      </c>
      <c r="D34" s="16">
        <v>21.59</v>
      </c>
      <c r="E34" s="16">
        <v>19.260000000000002</v>
      </c>
      <c r="F34" s="16">
        <v>14.86</v>
      </c>
      <c r="G34" s="16">
        <v>22.21</v>
      </c>
      <c r="H34">
        <v>0</v>
      </c>
    </row>
    <row r="35" spans="1:23" ht="15.75" customHeight="1">
      <c r="A35">
        <v>34</v>
      </c>
      <c r="B35" t="s">
        <v>217</v>
      </c>
      <c r="C35" s="16">
        <v>22.57</v>
      </c>
      <c r="D35" s="16">
        <v>19.39</v>
      </c>
      <c r="E35" s="16">
        <v>20.36</v>
      </c>
      <c r="F35" s="16">
        <v>19.09</v>
      </c>
      <c r="G35" s="16">
        <v>18.59</v>
      </c>
      <c r="H35">
        <v>0</v>
      </c>
    </row>
    <row r="36" spans="1:23" ht="15.75" customHeight="1">
      <c r="A36">
        <v>35</v>
      </c>
      <c r="B36" t="s">
        <v>218</v>
      </c>
      <c r="C36" s="16">
        <v>18.2</v>
      </c>
      <c r="D36" s="16">
        <v>21.98</v>
      </c>
      <c r="E36" s="16">
        <v>33.04</v>
      </c>
      <c r="F36" s="16">
        <v>15.82</v>
      </c>
      <c r="G36" s="16">
        <v>10.96</v>
      </c>
      <c r="H36">
        <v>0</v>
      </c>
    </row>
    <row r="37" spans="1:23" ht="15.75" customHeight="1">
      <c r="A37">
        <v>36</v>
      </c>
      <c r="B37" t="s">
        <v>219</v>
      </c>
      <c r="C37" s="16">
        <v>15.7</v>
      </c>
      <c r="D37" s="16">
        <v>26.81</v>
      </c>
      <c r="E37" s="16">
        <v>36.4</v>
      </c>
      <c r="F37" s="16">
        <v>14.52</v>
      </c>
      <c r="G37" s="16">
        <v>6.58</v>
      </c>
      <c r="H37">
        <v>0</v>
      </c>
    </row>
    <row r="38" spans="1:23" ht="15.75" customHeight="1">
      <c r="A38">
        <v>37</v>
      </c>
      <c r="B38" t="s">
        <v>220</v>
      </c>
      <c r="C38" s="16">
        <v>19.63</v>
      </c>
      <c r="D38" s="16">
        <v>24.78</v>
      </c>
      <c r="E38" s="16">
        <v>29.94</v>
      </c>
      <c r="F38" s="16">
        <v>11.44</v>
      </c>
      <c r="G38" s="16">
        <v>14.21</v>
      </c>
      <c r="H38">
        <v>0</v>
      </c>
    </row>
    <row r="39" spans="1:23" ht="15.75" customHeight="1">
      <c r="A39">
        <v>38</v>
      </c>
      <c r="B39" t="s">
        <v>221</v>
      </c>
      <c r="C39" s="16">
        <v>16.399999999999999</v>
      </c>
      <c r="D39" s="16">
        <v>21.66</v>
      </c>
      <c r="E39" s="16">
        <v>26.46</v>
      </c>
      <c r="F39" s="16">
        <v>18.09</v>
      </c>
      <c r="G39" s="16">
        <v>17.39</v>
      </c>
      <c r="H39">
        <v>0</v>
      </c>
    </row>
    <row r="40" spans="1:23" ht="15.75" customHeight="1">
      <c r="A40">
        <v>39</v>
      </c>
      <c r="B40" t="s">
        <v>222</v>
      </c>
      <c r="C40" s="16">
        <v>15.21</v>
      </c>
      <c r="D40" s="16">
        <v>27.02</v>
      </c>
      <c r="E40" s="16">
        <v>36.450000000000003</v>
      </c>
      <c r="F40" s="16">
        <v>11.08</v>
      </c>
      <c r="G40" s="16">
        <v>10.24</v>
      </c>
      <c r="H40">
        <v>0</v>
      </c>
    </row>
    <row r="41" spans="1:23" ht="15.75" customHeight="1">
      <c r="A41">
        <v>40</v>
      </c>
      <c r="B41" t="s">
        <v>223</v>
      </c>
      <c r="C41" s="16">
        <v>13.86</v>
      </c>
      <c r="D41" s="16">
        <v>28.41</v>
      </c>
      <c r="E41" s="16">
        <v>35.159999999999997</v>
      </c>
      <c r="F41" s="16">
        <v>11.68</v>
      </c>
      <c r="G41" s="16">
        <v>10.89</v>
      </c>
      <c r="H41">
        <v>0</v>
      </c>
    </row>
    <row r="42" spans="1:23" ht="15.75" customHeight="1">
      <c r="A42">
        <v>41</v>
      </c>
      <c r="B42" t="s">
        <v>224</v>
      </c>
      <c r="C42" s="16">
        <v>11.44</v>
      </c>
      <c r="D42" s="16">
        <v>22.15</v>
      </c>
      <c r="E42" s="16">
        <v>41.55</v>
      </c>
      <c r="F42" s="16">
        <v>15.75</v>
      </c>
      <c r="G42" s="16">
        <v>9.11</v>
      </c>
      <c r="H42">
        <v>0</v>
      </c>
    </row>
    <row r="43" spans="1:23" ht="15.75" customHeight="1">
      <c r="A43">
        <v>42</v>
      </c>
      <c r="B43" t="s">
        <v>225</v>
      </c>
      <c r="C43" s="16">
        <v>16.61</v>
      </c>
      <c r="D43" s="16">
        <v>17.61</v>
      </c>
      <c r="E43" s="16">
        <v>47.41</v>
      </c>
      <c r="F43" s="16">
        <v>8.68</v>
      </c>
      <c r="G43" s="16">
        <v>9.6999999999999993</v>
      </c>
      <c r="H43">
        <v>0</v>
      </c>
    </row>
    <row r="44" spans="1:23" ht="15.75" customHeight="1">
      <c r="A44">
        <v>43</v>
      </c>
      <c r="B44" t="s">
        <v>226</v>
      </c>
      <c r="C44" s="16">
        <v>17.11</v>
      </c>
      <c r="D44" s="16">
        <v>38.29</v>
      </c>
      <c r="E44" s="16">
        <v>11.49</v>
      </c>
      <c r="F44" s="16">
        <v>18.14</v>
      </c>
      <c r="G44" s="16">
        <v>14.97</v>
      </c>
      <c r="H44">
        <v>0</v>
      </c>
      <c r="I44" s="24"/>
      <c r="J44" s="24"/>
      <c r="K44" s="24"/>
    </row>
    <row r="45" spans="1:23" ht="15.75" customHeight="1">
      <c r="A45">
        <v>44</v>
      </c>
      <c r="B45" t="s">
        <v>227</v>
      </c>
      <c r="C45" s="16">
        <v>19.38</v>
      </c>
      <c r="D45" s="16">
        <v>25.68</v>
      </c>
      <c r="E45" s="16">
        <v>30.69</v>
      </c>
      <c r="F45" s="16">
        <v>12.71</v>
      </c>
      <c r="G45" s="16">
        <v>11.54</v>
      </c>
      <c r="H45">
        <v>0</v>
      </c>
      <c r="I45" s="24"/>
      <c r="J45" s="24"/>
      <c r="K45" s="24"/>
    </row>
    <row r="46" spans="1:23" ht="15.75" customHeight="1">
      <c r="A46">
        <v>45</v>
      </c>
      <c r="B46" t="s">
        <v>228</v>
      </c>
      <c r="C46" s="16">
        <v>15.16</v>
      </c>
      <c r="D46" s="16">
        <v>21.94</v>
      </c>
      <c r="E46" s="16">
        <v>34.229999999999997</v>
      </c>
      <c r="F46" s="16">
        <v>13.59</v>
      </c>
      <c r="G46" s="16">
        <v>15.1</v>
      </c>
      <c r="H46">
        <v>0</v>
      </c>
      <c r="I46" s="21"/>
      <c r="J46" s="21"/>
      <c r="K46" s="21"/>
    </row>
    <row r="47" spans="1:23" ht="15.75" customHeight="1">
      <c r="A47">
        <v>46</v>
      </c>
      <c r="B47" t="s">
        <v>229</v>
      </c>
      <c r="C47" s="16">
        <v>19.670000000000002</v>
      </c>
      <c r="D47" s="16">
        <v>23.96</v>
      </c>
      <c r="E47" s="16">
        <v>17.47</v>
      </c>
      <c r="F47" s="16">
        <v>15.11</v>
      </c>
      <c r="G47" s="16">
        <v>23.79</v>
      </c>
      <c r="H47">
        <v>0</v>
      </c>
      <c r="I47" s="21"/>
      <c r="J47" s="21"/>
      <c r="K47" s="21"/>
    </row>
    <row r="48" spans="1:23" ht="15.75" customHeight="1">
      <c r="A48">
        <v>47</v>
      </c>
      <c r="B48" t="s">
        <v>230</v>
      </c>
      <c r="C48" s="16">
        <v>13.76</v>
      </c>
      <c r="D48" s="16">
        <v>24.52</v>
      </c>
      <c r="E48" s="16">
        <v>37.78</v>
      </c>
      <c r="F48" s="16">
        <v>15.76</v>
      </c>
      <c r="G48" s="16">
        <v>8.18</v>
      </c>
      <c r="H48">
        <v>0</v>
      </c>
      <c r="I48" s="21"/>
      <c r="J48" s="21"/>
      <c r="K48" s="21"/>
    </row>
    <row r="49" spans="1:11" ht="15.75" customHeight="1">
      <c r="A49">
        <v>48</v>
      </c>
      <c r="B49" t="s">
        <v>231</v>
      </c>
      <c r="C49" s="16">
        <v>16.93</v>
      </c>
      <c r="D49" s="16">
        <v>24.28</v>
      </c>
      <c r="E49" s="16">
        <v>37.97</v>
      </c>
      <c r="F49" s="16">
        <v>12.32</v>
      </c>
      <c r="G49" s="16">
        <v>8.5</v>
      </c>
      <c r="H49">
        <v>0</v>
      </c>
      <c r="I49" s="21"/>
      <c r="J49" s="21"/>
      <c r="K49" s="21"/>
    </row>
    <row r="50" spans="1:11" ht="15.75" customHeight="1">
      <c r="A50">
        <v>49</v>
      </c>
      <c r="B50" t="s">
        <v>232</v>
      </c>
      <c r="C50" s="16">
        <v>18.62</v>
      </c>
      <c r="D50" s="16">
        <v>24.99</v>
      </c>
      <c r="E50" s="16">
        <v>30.09</v>
      </c>
      <c r="F50" s="16">
        <v>17.66</v>
      </c>
      <c r="G50" s="16">
        <v>8.65</v>
      </c>
      <c r="H50">
        <v>0</v>
      </c>
      <c r="I50" s="21"/>
      <c r="J50" s="21"/>
      <c r="K50" s="21"/>
    </row>
    <row r="51" spans="1:11" ht="15.75" customHeight="1">
      <c r="A51">
        <v>50</v>
      </c>
      <c r="B51" t="s">
        <v>233</v>
      </c>
      <c r="C51" s="16">
        <v>20.149999999999999</v>
      </c>
      <c r="D51" s="16">
        <v>19.350000000000001</v>
      </c>
      <c r="E51" s="16">
        <v>32.03</v>
      </c>
      <c r="F51" s="16">
        <v>16.18</v>
      </c>
      <c r="G51" s="16">
        <v>12.29</v>
      </c>
      <c r="H51">
        <v>0</v>
      </c>
      <c r="I51" s="24"/>
      <c r="J51" s="24"/>
      <c r="K51" s="24"/>
    </row>
    <row r="52" spans="1:11" ht="15.75" customHeight="1">
      <c r="A52">
        <v>51</v>
      </c>
      <c r="B52" t="s">
        <v>234</v>
      </c>
      <c r="C52" s="16">
        <v>13.56</v>
      </c>
      <c r="D52" s="16">
        <v>24.33</v>
      </c>
      <c r="E52" s="16">
        <v>33.520000000000003</v>
      </c>
      <c r="F52" s="16">
        <v>15</v>
      </c>
      <c r="G52" s="16">
        <v>13.6</v>
      </c>
      <c r="H52">
        <v>0</v>
      </c>
      <c r="I52" s="21"/>
      <c r="J52" s="21"/>
      <c r="K52" s="21"/>
    </row>
    <row r="53" spans="1:11" ht="15.75" customHeight="1">
      <c r="A53">
        <v>52</v>
      </c>
      <c r="B53" t="s">
        <v>235</v>
      </c>
      <c r="C53" s="16">
        <v>15.47</v>
      </c>
      <c r="D53" s="16">
        <v>20.05</v>
      </c>
      <c r="E53" s="16">
        <v>39.729999999999997</v>
      </c>
      <c r="F53" s="16">
        <v>13.42</v>
      </c>
      <c r="G53" s="16">
        <v>11.33</v>
      </c>
      <c r="H53">
        <v>0</v>
      </c>
      <c r="I53" s="21"/>
      <c r="J53" s="21"/>
      <c r="K53" s="21"/>
    </row>
    <row r="54" spans="1:11" ht="15.75" customHeight="1">
      <c r="A54">
        <v>53</v>
      </c>
      <c r="B54" t="s">
        <v>236</v>
      </c>
      <c r="C54" s="16">
        <v>19.309999999999999</v>
      </c>
      <c r="D54" s="16">
        <v>24.98</v>
      </c>
      <c r="E54" s="16">
        <v>34.26</v>
      </c>
      <c r="F54" s="16">
        <v>7.48</v>
      </c>
      <c r="G54" s="16">
        <v>13.97</v>
      </c>
      <c r="H54">
        <v>0</v>
      </c>
    </row>
    <row r="55" spans="1:11" ht="15.75" customHeight="1">
      <c r="A55">
        <v>54</v>
      </c>
      <c r="B55" t="s">
        <v>237</v>
      </c>
      <c r="C55" s="16">
        <v>19.38</v>
      </c>
      <c r="D55" s="16">
        <v>21.19</v>
      </c>
      <c r="E55" s="16">
        <v>30.56</v>
      </c>
      <c r="F55" s="16">
        <v>16.48</v>
      </c>
      <c r="G55" s="16">
        <v>12.39</v>
      </c>
      <c r="H55">
        <v>0</v>
      </c>
    </row>
    <row r="56" spans="1:11" ht="15.75" customHeight="1">
      <c r="A56">
        <v>55</v>
      </c>
      <c r="B56" t="s">
        <v>238</v>
      </c>
      <c r="C56" s="16">
        <v>25.13</v>
      </c>
      <c r="D56" s="16">
        <v>19.71</v>
      </c>
      <c r="E56" s="16">
        <v>35.979999999999997</v>
      </c>
      <c r="F56" s="16">
        <v>11.39</v>
      </c>
      <c r="G56" s="16">
        <v>7.79</v>
      </c>
      <c r="H56">
        <v>0</v>
      </c>
    </row>
    <row r="57" spans="1:11" ht="15.75" customHeight="1">
      <c r="A57">
        <v>56</v>
      </c>
      <c r="B57" t="s">
        <v>239</v>
      </c>
      <c r="C57" s="16">
        <v>19.29</v>
      </c>
      <c r="D57" s="16">
        <v>23.2</v>
      </c>
      <c r="E57" s="16">
        <v>39.380000000000003</v>
      </c>
      <c r="F57" s="16">
        <v>10.79</v>
      </c>
      <c r="G57" s="16">
        <v>7.34</v>
      </c>
      <c r="H57">
        <v>0</v>
      </c>
    </row>
    <row r="58" spans="1:11" ht="15.75" customHeight="1">
      <c r="A58">
        <v>57</v>
      </c>
      <c r="B58" t="s">
        <v>240</v>
      </c>
      <c r="C58" s="16">
        <v>14.41</v>
      </c>
      <c r="D58" s="16">
        <v>27.39</v>
      </c>
      <c r="E58" s="16">
        <v>34.869999999999997</v>
      </c>
      <c r="F58" s="16">
        <v>15.47</v>
      </c>
      <c r="G58" s="16">
        <v>7.86</v>
      </c>
      <c r="H58">
        <v>0</v>
      </c>
    </row>
    <row r="59" spans="1:11" ht="15.75" customHeight="1">
      <c r="A59">
        <v>58</v>
      </c>
      <c r="B59" t="s">
        <v>241</v>
      </c>
      <c r="C59" s="16">
        <v>31.87</v>
      </c>
      <c r="D59" s="16">
        <v>17.059999999999999</v>
      </c>
      <c r="E59" s="16">
        <v>21.53</v>
      </c>
      <c r="F59" s="16">
        <v>14.68</v>
      </c>
      <c r="G59" s="16">
        <v>14.86</v>
      </c>
      <c r="H59">
        <v>0</v>
      </c>
    </row>
    <row r="60" spans="1:11" ht="15.75" customHeight="1">
      <c r="A60">
        <v>59</v>
      </c>
      <c r="B60" t="s">
        <v>242</v>
      </c>
      <c r="C60" s="16">
        <v>15.95</v>
      </c>
      <c r="D60" s="16">
        <v>37.11</v>
      </c>
      <c r="E60" s="16">
        <v>23.45</v>
      </c>
      <c r="F60" s="16">
        <v>11.06</v>
      </c>
      <c r="G60" s="16">
        <v>12.43</v>
      </c>
      <c r="H60">
        <v>0</v>
      </c>
    </row>
    <row r="61" spans="1:11" ht="15.75" customHeight="1">
      <c r="A61">
        <v>60</v>
      </c>
      <c r="B61" t="s">
        <v>243</v>
      </c>
      <c r="C61" s="16">
        <v>22.96</v>
      </c>
      <c r="D61" s="16">
        <v>27.62</v>
      </c>
      <c r="E61" s="16">
        <v>24.94</v>
      </c>
      <c r="F61" s="16">
        <v>10.96</v>
      </c>
      <c r="G61" s="16">
        <v>13.52</v>
      </c>
      <c r="H61">
        <v>0</v>
      </c>
    </row>
    <row r="62" spans="1:11" ht="15.75" customHeight="1">
      <c r="A62">
        <v>61</v>
      </c>
      <c r="B62" t="s">
        <v>244</v>
      </c>
      <c r="C62" s="16">
        <v>17.850000000000001</v>
      </c>
      <c r="D62" s="16">
        <v>24.65</v>
      </c>
      <c r="E62" s="16">
        <v>31.54</v>
      </c>
      <c r="F62" s="16">
        <v>15.14</v>
      </c>
      <c r="G62" s="16">
        <v>10.82</v>
      </c>
      <c r="H62">
        <v>0</v>
      </c>
    </row>
    <row r="63" spans="1:11" ht="15.75" customHeight="1">
      <c r="A63">
        <v>62</v>
      </c>
      <c r="B63" t="s">
        <v>245</v>
      </c>
      <c r="C63" s="16">
        <v>14.92</v>
      </c>
      <c r="D63" s="16">
        <v>16.940000000000001</v>
      </c>
      <c r="E63" s="16">
        <v>27.66</v>
      </c>
      <c r="F63" s="16">
        <v>15.87</v>
      </c>
      <c r="G63" s="16">
        <v>24.61</v>
      </c>
      <c r="H63">
        <v>0</v>
      </c>
    </row>
    <row r="64" spans="1:11" ht="15.75" customHeight="1">
      <c r="A64">
        <v>63</v>
      </c>
      <c r="B64" t="s">
        <v>246</v>
      </c>
      <c r="C64" s="16">
        <v>16.57</v>
      </c>
      <c r="D64" s="16">
        <v>15.78</v>
      </c>
      <c r="E64" s="16">
        <v>20.72</v>
      </c>
      <c r="F64" s="16">
        <v>12.09</v>
      </c>
      <c r="G64" s="16">
        <v>34.840000000000003</v>
      </c>
      <c r="H64">
        <v>0</v>
      </c>
    </row>
    <row r="65" spans="1:8" ht="15.75" customHeight="1">
      <c r="A65">
        <v>64</v>
      </c>
      <c r="B65" t="s">
        <v>247</v>
      </c>
      <c r="C65" s="16">
        <v>18.649999999999999</v>
      </c>
      <c r="D65" s="16">
        <v>18.79</v>
      </c>
      <c r="E65" s="16">
        <v>18.79</v>
      </c>
      <c r="F65" s="16">
        <v>19.809999999999999</v>
      </c>
      <c r="G65" s="16">
        <v>23.96</v>
      </c>
      <c r="H65">
        <v>0</v>
      </c>
    </row>
    <row r="66" spans="1:8" ht="15.75" customHeight="1">
      <c r="A66">
        <v>65</v>
      </c>
      <c r="B66" t="s">
        <v>248</v>
      </c>
      <c r="C66" s="16">
        <v>22.96</v>
      </c>
      <c r="D66" s="16">
        <v>20.5</v>
      </c>
      <c r="E66" s="16">
        <v>20.149999999999999</v>
      </c>
      <c r="F66" s="16">
        <v>16.350000000000001</v>
      </c>
      <c r="G66" s="16">
        <v>20.04</v>
      </c>
      <c r="H66">
        <v>0</v>
      </c>
    </row>
    <row r="67" spans="1:8" ht="15.75" customHeight="1">
      <c r="A67">
        <v>66</v>
      </c>
      <c r="B67" t="s">
        <v>249</v>
      </c>
      <c r="C67" s="16">
        <v>20.010000000000002</v>
      </c>
      <c r="D67" s="16">
        <v>19.72</v>
      </c>
      <c r="E67" s="16">
        <v>26.32</v>
      </c>
      <c r="F67" s="16">
        <v>12.87</v>
      </c>
      <c r="G67" s="16">
        <v>21.08</v>
      </c>
      <c r="H67">
        <v>0</v>
      </c>
    </row>
    <row r="68" spans="1:8" ht="15.75" customHeight="1">
      <c r="A68">
        <v>67</v>
      </c>
      <c r="B68" t="s">
        <v>250</v>
      </c>
      <c r="C68" s="16">
        <v>26.05</v>
      </c>
      <c r="D68" s="16">
        <v>21.96</v>
      </c>
      <c r="E68" s="16">
        <v>15.34</v>
      </c>
      <c r="F68" s="16">
        <v>19.04</v>
      </c>
      <c r="G68" s="16">
        <v>17.61</v>
      </c>
      <c r="H68">
        <v>0</v>
      </c>
    </row>
    <row r="69" spans="1:8" ht="15.75" customHeight="1">
      <c r="A69">
        <v>68</v>
      </c>
      <c r="B69" t="s">
        <v>251</v>
      </c>
      <c r="C69" s="16">
        <v>17.21</v>
      </c>
      <c r="D69" s="16">
        <v>26.29</v>
      </c>
      <c r="E69" s="16">
        <v>22.91</v>
      </c>
      <c r="F69" s="16">
        <v>17.510000000000002</v>
      </c>
      <c r="G69" s="16">
        <v>16.079999999999998</v>
      </c>
      <c r="H69">
        <v>0</v>
      </c>
    </row>
    <row r="70" spans="1:8" ht="15.75" customHeight="1">
      <c r="A70">
        <v>69</v>
      </c>
      <c r="B70" t="s">
        <v>252</v>
      </c>
      <c r="C70" s="16">
        <v>17.239999999999998</v>
      </c>
      <c r="D70" s="16">
        <v>23.12</v>
      </c>
      <c r="E70" s="16">
        <v>22.86</v>
      </c>
      <c r="F70" s="16">
        <v>19.84</v>
      </c>
      <c r="G70" s="16">
        <v>16.940000000000001</v>
      </c>
      <c r="H70">
        <v>0</v>
      </c>
    </row>
    <row r="71" spans="1:8" ht="15.75" customHeight="1">
      <c r="A71">
        <v>70</v>
      </c>
      <c r="B71" t="s">
        <v>253</v>
      </c>
      <c r="C71" s="16">
        <v>25.1</v>
      </c>
      <c r="D71" s="16">
        <v>28.78</v>
      </c>
      <c r="E71" s="16">
        <v>21.07</v>
      </c>
      <c r="F71" s="16">
        <v>12.07</v>
      </c>
      <c r="G71" s="16">
        <v>12.98</v>
      </c>
      <c r="H71">
        <v>0</v>
      </c>
    </row>
    <row r="72" spans="1:8" ht="15.75" customHeight="1">
      <c r="A72">
        <v>71</v>
      </c>
      <c r="B72" t="s">
        <v>254</v>
      </c>
      <c r="C72" s="16">
        <v>17.48</v>
      </c>
      <c r="D72" s="16">
        <v>31.21</v>
      </c>
      <c r="E72" s="16">
        <v>22.17</v>
      </c>
      <c r="F72" s="16">
        <v>15.14</v>
      </c>
      <c r="G72" s="16">
        <v>14</v>
      </c>
      <c r="H72">
        <v>0</v>
      </c>
    </row>
    <row r="73" spans="1:8" ht="15.75" customHeight="1">
      <c r="A73">
        <v>72</v>
      </c>
      <c r="B73" t="s">
        <v>255</v>
      </c>
      <c r="C73" s="16">
        <v>9.89</v>
      </c>
      <c r="D73" s="16">
        <v>20.58</v>
      </c>
      <c r="E73" s="16">
        <v>31.21</v>
      </c>
      <c r="F73" s="16">
        <v>14.38</v>
      </c>
      <c r="G73" s="16">
        <v>23.94</v>
      </c>
      <c r="H73">
        <v>0</v>
      </c>
    </row>
    <row r="74" spans="1:8" ht="15.75" customHeight="1">
      <c r="A74">
        <v>73</v>
      </c>
      <c r="B74" t="s">
        <v>256</v>
      </c>
      <c r="C74" s="16">
        <v>14.4</v>
      </c>
      <c r="D74" s="16">
        <v>28.35</v>
      </c>
      <c r="E74" s="16">
        <v>27.68</v>
      </c>
      <c r="F74" s="16">
        <v>11.54</v>
      </c>
      <c r="G74" s="16">
        <v>18.03</v>
      </c>
      <c r="H74">
        <v>0</v>
      </c>
    </row>
    <row r="75" spans="1:8" ht="15.75" customHeight="1">
      <c r="A75">
        <v>74</v>
      </c>
      <c r="B75" t="s">
        <v>257</v>
      </c>
      <c r="C75" s="22">
        <v>24.91</v>
      </c>
      <c r="D75" s="15">
        <v>22.23</v>
      </c>
      <c r="E75" s="15">
        <v>29.92</v>
      </c>
      <c r="F75" s="15">
        <v>13.62</v>
      </c>
      <c r="G75" s="15">
        <v>9.32</v>
      </c>
      <c r="H75">
        <v>1</v>
      </c>
    </row>
    <row r="76" spans="1:8" ht="15.75" customHeight="1">
      <c r="A76">
        <v>75</v>
      </c>
      <c r="B76" t="s">
        <v>258</v>
      </c>
      <c r="C76" s="15">
        <v>19.690000000000001</v>
      </c>
      <c r="D76" s="15">
        <v>23.05</v>
      </c>
      <c r="E76" s="15">
        <v>33.46</v>
      </c>
      <c r="F76" s="15">
        <v>11.14</v>
      </c>
      <c r="G76" s="15">
        <v>12.66</v>
      </c>
      <c r="H76">
        <v>1</v>
      </c>
    </row>
    <row r="77" spans="1:8" ht="15.75" customHeight="1">
      <c r="A77">
        <v>76</v>
      </c>
      <c r="B77" t="s">
        <v>259</v>
      </c>
      <c r="C77" s="15">
        <v>19.39</v>
      </c>
      <c r="D77" s="15">
        <v>21.11</v>
      </c>
      <c r="E77" s="15">
        <v>37.090000000000003</v>
      </c>
      <c r="F77" s="15">
        <v>15.39</v>
      </c>
      <c r="G77" s="15">
        <v>7.02</v>
      </c>
      <c r="H77">
        <v>1</v>
      </c>
    </row>
    <row r="78" spans="1:8" ht="15.75" customHeight="1">
      <c r="A78">
        <v>77</v>
      </c>
      <c r="B78" t="s">
        <v>260</v>
      </c>
      <c r="C78" s="15">
        <v>15.49</v>
      </c>
      <c r="D78" s="15">
        <v>13.38</v>
      </c>
      <c r="E78" s="15">
        <v>40.97</v>
      </c>
      <c r="F78" s="15">
        <v>17.66</v>
      </c>
      <c r="G78" s="15">
        <v>12.5</v>
      </c>
      <c r="H78">
        <v>1</v>
      </c>
    </row>
    <row r="79" spans="1:8" ht="15.75" customHeight="1">
      <c r="A79">
        <v>78</v>
      </c>
      <c r="B79" t="s">
        <v>261</v>
      </c>
      <c r="C79" s="15">
        <v>18.93</v>
      </c>
      <c r="D79" s="15">
        <v>10.69</v>
      </c>
      <c r="E79" s="15">
        <v>37.58</v>
      </c>
      <c r="F79" s="15">
        <v>20.25</v>
      </c>
      <c r="G79" s="15">
        <v>12.55</v>
      </c>
      <c r="H79">
        <v>1</v>
      </c>
    </row>
    <row r="80" spans="1:8" ht="15.75" customHeight="1">
      <c r="A80">
        <v>79</v>
      </c>
      <c r="B80" t="s">
        <v>262</v>
      </c>
      <c r="C80" s="16">
        <v>12.55</v>
      </c>
      <c r="D80" s="16">
        <v>17.37</v>
      </c>
      <c r="E80" s="16">
        <v>46.79</v>
      </c>
      <c r="F80" s="16">
        <v>11.66</v>
      </c>
      <c r="G80" s="16">
        <v>11.63</v>
      </c>
      <c r="H80">
        <v>1</v>
      </c>
    </row>
    <row r="81" spans="1:8" ht="15.75" customHeight="1">
      <c r="A81">
        <v>80</v>
      </c>
      <c r="B81" t="s">
        <v>263</v>
      </c>
      <c r="C81" s="16">
        <v>14.72</v>
      </c>
      <c r="D81" s="16">
        <v>23.03</v>
      </c>
      <c r="E81" s="16">
        <v>31.71</v>
      </c>
      <c r="F81" s="16">
        <v>18.57</v>
      </c>
      <c r="G81" s="16">
        <v>11.97</v>
      </c>
      <c r="H81">
        <v>1</v>
      </c>
    </row>
    <row r="82" spans="1:8" ht="15.75" customHeight="1">
      <c r="A82">
        <v>81</v>
      </c>
      <c r="B82" t="s">
        <v>264</v>
      </c>
      <c r="C82" s="16">
        <v>16</v>
      </c>
      <c r="D82" s="16">
        <v>25.03</v>
      </c>
      <c r="E82" s="16">
        <v>31.46</v>
      </c>
      <c r="F82" s="16">
        <v>18.690000000000001</v>
      </c>
      <c r="G82" s="16">
        <v>8.82</v>
      </c>
      <c r="H82">
        <v>1</v>
      </c>
    </row>
    <row r="83" spans="1:8" ht="15.75" customHeight="1">
      <c r="A83">
        <v>82</v>
      </c>
      <c r="B83" t="s">
        <v>265</v>
      </c>
      <c r="C83" s="16">
        <v>18.77</v>
      </c>
      <c r="D83" s="16">
        <v>15.33</v>
      </c>
      <c r="E83" s="16">
        <v>32.85</v>
      </c>
      <c r="F83" s="16">
        <v>16.190000000000001</v>
      </c>
      <c r="G83" s="16">
        <v>16.86</v>
      </c>
      <c r="H83">
        <v>1</v>
      </c>
    </row>
    <row r="84" spans="1:8" ht="15.75" customHeight="1">
      <c r="A84">
        <v>83</v>
      </c>
      <c r="B84" t="s">
        <v>266</v>
      </c>
      <c r="C84" s="16">
        <v>11.09</v>
      </c>
      <c r="D84" s="16">
        <v>33.36</v>
      </c>
      <c r="E84" s="16">
        <v>28.7</v>
      </c>
      <c r="F84" s="16">
        <v>13.95</v>
      </c>
      <c r="G84" s="16">
        <v>12.9</v>
      </c>
      <c r="H84">
        <v>1</v>
      </c>
    </row>
    <row r="85" spans="1:8" ht="15.75" customHeight="1">
      <c r="A85">
        <v>84</v>
      </c>
      <c r="B85" t="s">
        <v>267</v>
      </c>
      <c r="C85" s="16">
        <v>17.93</v>
      </c>
      <c r="D85" s="16">
        <v>24.84</v>
      </c>
      <c r="E85" s="16">
        <v>30.54</v>
      </c>
      <c r="F85" s="16">
        <v>14.14</v>
      </c>
      <c r="G85" s="16">
        <v>12.55</v>
      </c>
      <c r="H85">
        <v>1</v>
      </c>
    </row>
    <row r="86" spans="1:8" ht="15.75" customHeight="1">
      <c r="A86">
        <v>85</v>
      </c>
      <c r="B86" t="s">
        <v>268</v>
      </c>
      <c r="C86" s="16">
        <v>16.7</v>
      </c>
      <c r="D86" s="16">
        <v>25.98</v>
      </c>
      <c r="E86" s="16">
        <v>33.380000000000003</v>
      </c>
      <c r="F86" s="16">
        <v>10.56</v>
      </c>
      <c r="G86" s="16">
        <v>13.38</v>
      </c>
      <c r="H86">
        <v>1</v>
      </c>
    </row>
    <row r="87" spans="1:8" ht="15.75" customHeight="1"/>
    <row r="88" spans="1:8" ht="15.75" customHeight="1"/>
    <row r="89" spans="1:8" ht="15.75" customHeight="1"/>
    <row r="90" spans="1:8" ht="15.75" customHeight="1"/>
    <row r="91" spans="1:8" ht="15.75" customHeight="1"/>
    <row r="92" spans="1:8" ht="15.75" customHeight="1"/>
    <row r="93" spans="1:8" ht="15.75" customHeight="1"/>
    <row r="94" spans="1:8" ht="15.75" customHeight="1"/>
    <row r="95" spans="1:8" ht="15.75" customHeight="1">
      <c r="A95" s="1"/>
      <c r="C95" s="25"/>
      <c r="D95" s="25"/>
      <c r="E95" s="24"/>
      <c r="F95" s="26"/>
      <c r="G95" s="24"/>
    </row>
    <row r="96" spans="1:8" ht="15.75" customHeight="1">
      <c r="A96" s="1"/>
      <c r="C96" s="25"/>
      <c r="D96" s="25"/>
      <c r="E96" s="28"/>
      <c r="F96" s="26"/>
      <c r="G96" s="24"/>
    </row>
    <row r="97" spans="1:7" ht="15.75" customHeight="1">
      <c r="A97" s="1"/>
      <c r="C97" s="25"/>
      <c r="D97" s="25"/>
      <c r="E97" s="24"/>
      <c r="F97" s="26"/>
      <c r="G97" s="24"/>
    </row>
    <row r="98" spans="1:7" ht="15.75" customHeight="1"/>
    <row r="99" spans="1:7" ht="15.75" customHeight="1"/>
    <row r="100" spans="1:7" ht="15.75" customHeight="1"/>
    <row r="101" spans="1:7" ht="15.75" customHeight="1"/>
    <row r="102" spans="1:7" ht="15.75" customHeight="1"/>
    <row r="103" spans="1:7" ht="15.75" customHeight="1"/>
    <row r="104" spans="1:7" ht="15.75" customHeight="1"/>
    <row r="105" spans="1:7" ht="15.75" customHeight="1"/>
    <row r="106" spans="1:7" ht="15.75" customHeight="1"/>
    <row r="107" spans="1:7" ht="15.75" customHeight="1"/>
    <row r="108" spans="1:7" ht="15.75" customHeight="1"/>
    <row r="109" spans="1:7" ht="15.75" customHeight="1"/>
    <row r="110" spans="1:7" ht="15.75" customHeight="1"/>
    <row r="111" spans="1:7" ht="15.75" customHeight="1"/>
    <row r="112" spans="1: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zoomScaleNormal="100" workbookViewId="0">
      <selection activeCell="M56" sqref="M56"/>
    </sheetView>
  </sheetViews>
  <sheetFormatPr defaultColWidth="14.42578125" defaultRowHeight="15" customHeight="1"/>
  <cols>
    <col min="1" max="1" width="8.7109375" customWidth="1"/>
    <col min="2" max="2" width="18.28515625" style="63" customWidth="1"/>
    <col min="3" max="14" width="8.7109375" customWidth="1"/>
    <col min="15" max="15" width="10.5703125" customWidth="1"/>
    <col min="16" max="17" width="10.42578125" customWidth="1"/>
    <col min="18" max="22" width="8.7109375" customWidth="1"/>
    <col min="23" max="23" width="11.140625" customWidth="1"/>
    <col min="24" max="29" width="8.7109375" customWidth="1"/>
  </cols>
  <sheetData>
    <row r="1" spans="1:20" ht="15" customHeight="1">
      <c r="A1" s="1" t="s">
        <v>2</v>
      </c>
      <c r="B1" s="62" t="s">
        <v>3</v>
      </c>
      <c r="C1" s="48" t="s">
        <v>104</v>
      </c>
      <c r="D1" s="48" t="s">
        <v>105</v>
      </c>
      <c r="E1" s="55" t="s">
        <v>108</v>
      </c>
      <c r="F1" s="48" t="s">
        <v>101</v>
      </c>
      <c r="G1" s="48" t="s">
        <v>100</v>
      </c>
      <c r="H1" s="59" t="s">
        <v>109</v>
      </c>
    </row>
    <row r="2" spans="1:20">
      <c r="A2" s="10">
        <v>1</v>
      </c>
      <c r="B2" s="63" t="s">
        <v>110</v>
      </c>
      <c r="C2" s="48">
        <v>10.38</v>
      </c>
      <c r="D2" s="48">
        <v>23.16</v>
      </c>
      <c r="E2" s="48">
        <v>15.53</v>
      </c>
      <c r="F2" s="48">
        <v>21.32</v>
      </c>
      <c r="G2" s="48">
        <v>29.61</v>
      </c>
      <c r="H2" s="56">
        <v>0</v>
      </c>
      <c r="P2" s="27"/>
      <c r="Q2" s="27"/>
      <c r="R2" s="29"/>
      <c r="S2" s="27"/>
      <c r="T2" s="27"/>
    </row>
    <row r="3" spans="1:20">
      <c r="A3" s="10">
        <v>2</v>
      </c>
      <c r="B3" s="63" t="s">
        <v>111</v>
      </c>
      <c r="C3" s="48">
        <v>9.9</v>
      </c>
      <c r="D3" s="48">
        <v>20.260000000000002</v>
      </c>
      <c r="E3" s="48">
        <v>18.5</v>
      </c>
      <c r="F3" s="48">
        <v>26.43</v>
      </c>
      <c r="G3" s="48">
        <v>24.91</v>
      </c>
      <c r="H3" s="56">
        <v>0</v>
      </c>
      <c r="I3" s="47"/>
    </row>
    <row r="4" spans="1:20">
      <c r="A4" s="10">
        <v>3</v>
      </c>
      <c r="B4" s="60" t="s">
        <v>112</v>
      </c>
      <c r="C4" s="52">
        <v>14.28</v>
      </c>
      <c r="D4" s="52">
        <v>19.04</v>
      </c>
      <c r="E4" s="51">
        <v>23</v>
      </c>
      <c r="F4" s="51">
        <v>23</v>
      </c>
      <c r="G4" s="51">
        <v>23</v>
      </c>
      <c r="H4" s="57">
        <v>0</v>
      </c>
      <c r="K4" s="26"/>
      <c r="L4" s="23"/>
      <c r="M4" s="23"/>
      <c r="N4" s="24"/>
      <c r="O4" s="24"/>
    </row>
    <row r="5" spans="1:20">
      <c r="A5" s="10">
        <v>4</v>
      </c>
      <c r="B5" s="63" t="s">
        <v>113</v>
      </c>
      <c r="C5" s="48">
        <v>8.1</v>
      </c>
      <c r="D5" s="48">
        <v>19.399999999999999</v>
      </c>
      <c r="E5" s="48">
        <v>15.9</v>
      </c>
      <c r="F5" s="48">
        <v>30.89</v>
      </c>
      <c r="G5" s="48">
        <v>25.73</v>
      </c>
      <c r="H5" s="56">
        <v>0</v>
      </c>
      <c r="I5" s="18"/>
      <c r="P5" s="26"/>
    </row>
    <row r="6" spans="1:20">
      <c r="A6" s="10">
        <v>5</v>
      </c>
      <c r="B6" s="63" t="s">
        <v>114</v>
      </c>
      <c r="C6" s="48">
        <v>11.06</v>
      </c>
      <c r="D6" s="48">
        <v>21.05</v>
      </c>
      <c r="E6" s="48">
        <v>17.61</v>
      </c>
      <c r="F6" s="48">
        <v>26.22</v>
      </c>
      <c r="G6" s="48">
        <v>24.06</v>
      </c>
      <c r="H6" s="56">
        <v>0</v>
      </c>
      <c r="I6" s="24"/>
    </row>
    <row r="7" spans="1:20">
      <c r="A7" s="10">
        <v>6</v>
      </c>
      <c r="B7" s="63" t="s">
        <v>115</v>
      </c>
      <c r="C7" s="48">
        <v>13.61</v>
      </c>
      <c r="D7" s="48">
        <v>19.059999999999999</v>
      </c>
      <c r="E7" s="48">
        <v>21.97</v>
      </c>
      <c r="F7" s="48">
        <v>22.71</v>
      </c>
      <c r="G7" s="48">
        <v>22.66</v>
      </c>
      <c r="H7" s="56">
        <v>0</v>
      </c>
      <c r="I7" s="24"/>
    </row>
    <row r="8" spans="1:20">
      <c r="A8" s="10">
        <v>7</v>
      </c>
      <c r="B8" s="63" t="s">
        <v>116</v>
      </c>
      <c r="C8" s="48">
        <v>11.93</v>
      </c>
      <c r="D8" s="48">
        <v>16.75</v>
      </c>
      <c r="E8" s="48">
        <v>21.59</v>
      </c>
      <c r="F8" s="48">
        <v>24.63</v>
      </c>
      <c r="G8" s="48">
        <v>25.1</v>
      </c>
      <c r="H8" s="56">
        <v>0</v>
      </c>
      <c r="I8" s="24"/>
    </row>
    <row r="9" spans="1:20">
      <c r="A9" s="10">
        <v>8</v>
      </c>
      <c r="B9" s="63" t="s">
        <v>117</v>
      </c>
      <c r="C9" s="48">
        <v>16.07</v>
      </c>
      <c r="D9" s="48">
        <v>24.63</v>
      </c>
      <c r="E9" s="48">
        <v>29.15</v>
      </c>
      <c r="F9" s="48">
        <v>22.12</v>
      </c>
      <c r="G9" s="48">
        <v>30.15</v>
      </c>
      <c r="H9" s="56">
        <v>0</v>
      </c>
      <c r="I9" s="24"/>
    </row>
    <row r="10" spans="1:20">
      <c r="A10" s="10">
        <v>9</v>
      </c>
      <c r="B10" s="63" t="s">
        <v>118</v>
      </c>
      <c r="C10" s="48">
        <v>10.19</v>
      </c>
      <c r="D10" s="48">
        <v>18.53</v>
      </c>
      <c r="E10" s="48">
        <v>21.11</v>
      </c>
      <c r="F10" s="48">
        <v>23.26</v>
      </c>
      <c r="G10" s="48">
        <v>26.91</v>
      </c>
      <c r="H10" s="56">
        <v>0</v>
      </c>
      <c r="I10" s="24"/>
    </row>
    <row r="11" spans="1:20">
      <c r="A11" s="10">
        <v>10</v>
      </c>
      <c r="B11" s="63" t="s">
        <v>119</v>
      </c>
      <c r="C11" s="48">
        <v>11.9</v>
      </c>
      <c r="D11" s="48">
        <v>17.350000000000001</v>
      </c>
      <c r="E11" s="48">
        <v>26.12</v>
      </c>
      <c r="F11" s="48">
        <v>22.82</v>
      </c>
      <c r="G11" s="48">
        <v>21.81</v>
      </c>
      <c r="H11" s="56">
        <v>0</v>
      </c>
    </row>
    <row r="12" spans="1:20">
      <c r="A12" s="10">
        <v>11</v>
      </c>
      <c r="B12" s="63" t="s">
        <v>120</v>
      </c>
      <c r="C12" s="48">
        <v>15.56</v>
      </c>
      <c r="D12" s="48">
        <v>19.88</v>
      </c>
      <c r="E12" s="48">
        <v>29.38</v>
      </c>
      <c r="F12" s="48">
        <v>28.71</v>
      </c>
      <c r="G12" s="48">
        <v>24.36</v>
      </c>
      <c r="H12" s="56">
        <v>0</v>
      </c>
      <c r="I12" s="24"/>
    </row>
    <row r="13" spans="1:20">
      <c r="A13" s="10">
        <v>12</v>
      </c>
      <c r="B13" s="63" t="s">
        <v>121</v>
      </c>
      <c r="C13" s="48">
        <v>14.74</v>
      </c>
      <c r="D13" s="48">
        <v>16.96</v>
      </c>
      <c r="E13" s="48">
        <v>21.82</v>
      </c>
      <c r="F13" s="48">
        <v>25.22</v>
      </c>
      <c r="G13" s="48">
        <v>21.26</v>
      </c>
      <c r="H13" s="56">
        <v>0</v>
      </c>
      <c r="I13" s="24"/>
    </row>
    <row r="14" spans="1:20">
      <c r="A14" s="10">
        <v>13</v>
      </c>
      <c r="B14" s="63" t="s">
        <v>122</v>
      </c>
      <c r="C14" s="48">
        <v>8.67</v>
      </c>
      <c r="D14" s="48">
        <v>13.46</v>
      </c>
      <c r="E14" s="48">
        <v>19.59</v>
      </c>
      <c r="F14" s="48">
        <v>33.53</v>
      </c>
      <c r="G14" s="48">
        <v>24.76</v>
      </c>
      <c r="H14" s="56">
        <v>0</v>
      </c>
      <c r="I14" s="21"/>
    </row>
    <row r="15" spans="1:20">
      <c r="A15" s="10">
        <v>14</v>
      </c>
      <c r="B15" s="63" t="s">
        <v>123</v>
      </c>
      <c r="C15" s="48">
        <v>8.6199999999999992</v>
      </c>
      <c r="D15" s="48">
        <v>28.99</v>
      </c>
      <c r="E15" s="48">
        <v>22.38</v>
      </c>
      <c r="F15" s="48">
        <v>21.2</v>
      </c>
      <c r="G15" s="48">
        <v>35.21</v>
      </c>
      <c r="H15" s="56">
        <v>0</v>
      </c>
      <c r="I15" s="24"/>
    </row>
    <row r="16" spans="1:20">
      <c r="A16" s="10">
        <v>15</v>
      </c>
      <c r="B16" s="63" t="s">
        <v>124</v>
      </c>
      <c r="C16" s="48">
        <v>11.85</v>
      </c>
      <c r="D16" s="48">
        <v>12.19</v>
      </c>
      <c r="E16" s="48">
        <v>24.52</v>
      </c>
      <c r="F16" s="48">
        <v>27.09</v>
      </c>
      <c r="G16" s="48">
        <v>24.35</v>
      </c>
      <c r="H16" s="56">
        <v>0</v>
      </c>
      <c r="I16" s="24"/>
    </row>
    <row r="17" spans="1:21">
      <c r="A17" s="10">
        <v>16</v>
      </c>
      <c r="B17" s="63" t="s">
        <v>125</v>
      </c>
      <c r="C17" s="48">
        <v>11.1</v>
      </c>
      <c r="D17" s="48">
        <v>17.510000000000002</v>
      </c>
      <c r="E17" s="48">
        <v>27.65</v>
      </c>
      <c r="F17" s="48">
        <v>22.61</v>
      </c>
      <c r="G17" s="48">
        <v>21.14</v>
      </c>
      <c r="H17" s="56">
        <v>0</v>
      </c>
    </row>
    <row r="18" spans="1:21">
      <c r="A18" s="10">
        <v>17</v>
      </c>
      <c r="B18" s="63" t="s">
        <v>126</v>
      </c>
      <c r="C18" s="48">
        <v>11.65</v>
      </c>
      <c r="D18" s="48">
        <v>18.14</v>
      </c>
      <c r="E18" s="48">
        <v>26.3</v>
      </c>
      <c r="F18" s="48">
        <v>22.31</v>
      </c>
      <c r="G18" s="48">
        <v>21.6</v>
      </c>
      <c r="H18" s="56">
        <v>0</v>
      </c>
      <c r="I18" s="24"/>
    </row>
    <row r="19" spans="1:21">
      <c r="A19" s="10">
        <v>18</v>
      </c>
      <c r="B19" s="63" t="s">
        <v>127</v>
      </c>
      <c r="C19" s="48">
        <v>9.86</v>
      </c>
      <c r="D19" s="48">
        <v>16.149999999999999</v>
      </c>
      <c r="E19" s="48">
        <v>28.62</v>
      </c>
      <c r="F19" s="48">
        <v>25.78</v>
      </c>
      <c r="G19" s="48">
        <v>19.59</v>
      </c>
      <c r="H19" s="56">
        <v>0</v>
      </c>
      <c r="I19" s="24"/>
    </row>
    <row r="20" spans="1:21">
      <c r="A20" s="10">
        <v>19</v>
      </c>
      <c r="B20" s="63" t="s">
        <v>128</v>
      </c>
      <c r="C20" s="48">
        <v>8.6199999999999992</v>
      </c>
      <c r="D20" s="48">
        <v>10.7</v>
      </c>
      <c r="E20" s="48">
        <v>25.25</v>
      </c>
      <c r="F20" s="48">
        <v>31.85</v>
      </c>
      <c r="G20" s="48">
        <v>23.57</v>
      </c>
      <c r="H20" s="56">
        <v>0</v>
      </c>
      <c r="I20" s="24"/>
    </row>
    <row r="21" spans="1:21" ht="15.75" customHeight="1">
      <c r="A21" s="10">
        <v>20</v>
      </c>
      <c r="B21" s="63" t="s">
        <v>129</v>
      </c>
      <c r="C21" s="49">
        <v>12.14</v>
      </c>
      <c r="D21" s="48">
        <v>16.93</v>
      </c>
      <c r="E21" s="48">
        <v>23.38</v>
      </c>
      <c r="F21" s="48">
        <v>27.55</v>
      </c>
      <c r="G21" s="48">
        <v>19.100000000000001</v>
      </c>
      <c r="H21" s="56">
        <v>0</v>
      </c>
      <c r="I21" s="24"/>
      <c r="P21" s="25"/>
    </row>
    <row r="22" spans="1:21" ht="15.75" customHeight="1">
      <c r="A22" s="10">
        <v>21</v>
      </c>
      <c r="B22" s="63" t="s">
        <v>130</v>
      </c>
      <c r="C22" s="48">
        <v>11.38</v>
      </c>
      <c r="D22" s="48">
        <v>15.27</v>
      </c>
      <c r="E22" s="48">
        <v>23.91</v>
      </c>
      <c r="F22" s="48">
        <v>19.649999999999999</v>
      </c>
      <c r="G22" s="48">
        <v>29.79</v>
      </c>
      <c r="H22" s="56">
        <v>0</v>
      </c>
      <c r="I22" s="24"/>
    </row>
    <row r="23" spans="1:21" ht="15.75" customHeight="1">
      <c r="A23" s="10">
        <v>22</v>
      </c>
      <c r="B23" s="63" t="s">
        <v>131</v>
      </c>
      <c r="C23" s="48">
        <v>10.69</v>
      </c>
      <c r="D23" s="48">
        <v>14.06</v>
      </c>
      <c r="E23" s="48">
        <v>22.88</v>
      </c>
      <c r="F23" s="48">
        <v>32.1</v>
      </c>
      <c r="G23" s="48">
        <v>20.27</v>
      </c>
      <c r="H23" s="56">
        <v>0</v>
      </c>
    </row>
    <row r="24" spans="1:21" ht="15.75" customHeight="1">
      <c r="A24" s="10">
        <v>23</v>
      </c>
      <c r="B24" s="63" t="s">
        <v>132</v>
      </c>
      <c r="C24" s="48">
        <v>14.18</v>
      </c>
      <c r="D24" s="48">
        <v>13.6</v>
      </c>
      <c r="E24" s="48">
        <v>23.47</v>
      </c>
      <c r="F24" s="48">
        <v>23.4</v>
      </c>
      <c r="G24" s="48">
        <v>25.36</v>
      </c>
      <c r="H24" s="56">
        <v>0</v>
      </c>
      <c r="I24" s="24"/>
    </row>
    <row r="25" spans="1:21" ht="15.75" customHeight="1">
      <c r="A25" s="10">
        <v>24</v>
      </c>
      <c r="B25" s="63" t="s">
        <v>133</v>
      </c>
      <c r="C25" s="48">
        <v>7.5</v>
      </c>
      <c r="D25" s="48">
        <v>16.73</v>
      </c>
      <c r="E25" s="48">
        <v>21.1</v>
      </c>
      <c r="F25" s="48">
        <v>32.85</v>
      </c>
      <c r="G25" s="48">
        <v>20.92</v>
      </c>
      <c r="H25" s="56">
        <v>0</v>
      </c>
      <c r="I25" s="21"/>
    </row>
    <row r="26" spans="1:21" ht="15.75" customHeight="1">
      <c r="A26" s="10">
        <v>25</v>
      </c>
      <c r="B26" s="63" t="s">
        <v>134</v>
      </c>
      <c r="C26" s="48">
        <v>7.57</v>
      </c>
      <c r="D26" s="48">
        <v>11.94</v>
      </c>
      <c r="E26" s="48">
        <v>25.48</v>
      </c>
      <c r="F26" s="48">
        <v>34.22</v>
      </c>
      <c r="G26" s="48">
        <v>20.78</v>
      </c>
      <c r="H26" s="56">
        <v>0</v>
      </c>
      <c r="I26" s="21"/>
      <c r="K26" s="47"/>
    </row>
    <row r="27" spans="1:21" ht="15.75" customHeight="1">
      <c r="A27" s="10">
        <v>26</v>
      </c>
      <c r="B27" s="63" t="s">
        <v>135</v>
      </c>
      <c r="C27" s="48">
        <v>8.82</v>
      </c>
      <c r="D27" s="48">
        <v>16.260000000000002</v>
      </c>
      <c r="E27" s="48">
        <v>23.51</v>
      </c>
      <c r="F27" s="48">
        <v>22.49</v>
      </c>
      <c r="G27" s="48">
        <v>28.92</v>
      </c>
      <c r="H27" s="56">
        <v>0</v>
      </c>
      <c r="I27" s="24"/>
      <c r="K27" s="47"/>
    </row>
    <row r="28" spans="1:21" ht="15.75" customHeight="1">
      <c r="A28" s="10">
        <v>27</v>
      </c>
      <c r="B28" s="63" t="s">
        <v>136</v>
      </c>
      <c r="C28" s="48">
        <v>9.61</v>
      </c>
      <c r="D28" s="48">
        <v>13.01</v>
      </c>
      <c r="E28" s="48">
        <v>21.29</v>
      </c>
      <c r="F28" s="48">
        <v>28.82</v>
      </c>
      <c r="G28" s="48">
        <v>27.28</v>
      </c>
      <c r="H28" s="56">
        <v>0</v>
      </c>
      <c r="I28" s="24"/>
      <c r="K28" s="47"/>
    </row>
    <row r="29" spans="1:21" ht="15.75" customHeight="1">
      <c r="A29" s="10">
        <v>28</v>
      </c>
      <c r="B29" s="63" t="s">
        <v>137</v>
      </c>
      <c r="C29" s="48">
        <v>9.19</v>
      </c>
      <c r="D29" s="48">
        <v>14.54</v>
      </c>
      <c r="E29" s="48">
        <v>26.65</v>
      </c>
      <c r="F29" s="48">
        <v>25.06</v>
      </c>
      <c r="G29" s="48">
        <v>24.57</v>
      </c>
      <c r="H29" s="56">
        <v>0</v>
      </c>
      <c r="K29" s="47"/>
    </row>
    <row r="30" spans="1:21" ht="15.75" customHeight="1">
      <c r="A30" s="10">
        <v>29</v>
      </c>
      <c r="B30" s="63" t="s">
        <v>138</v>
      </c>
      <c r="C30" s="48">
        <v>10.25</v>
      </c>
      <c r="D30" s="48">
        <v>16.72</v>
      </c>
      <c r="E30" s="48">
        <v>21.38</v>
      </c>
      <c r="F30" s="48">
        <v>24.66</v>
      </c>
      <c r="G30" s="48">
        <v>27</v>
      </c>
      <c r="H30" s="56">
        <v>0</v>
      </c>
      <c r="I30" s="24"/>
      <c r="K30" s="47"/>
      <c r="U30" s="1"/>
    </row>
    <row r="31" spans="1:21" ht="15.75" customHeight="1">
      <c r="A31" s="10">
        <v>30</v>
      </c>
      <c r="B31" s="63" t="s">
        <v>141</v>
      </c>
      <c r="C31" s="50">
        <v>24.35</v>
      </c>
      <c r="D31" s="50">
        <v>27.09</v>
      </c>
      <c r="E31" s="50">
        <v>24.52</v>
      </c>
      <c r="F31" s="50">
        <v>12.19</v>
      </c>
      <c r="G31" s="50">
        <v>11.85</v>
      </c>
      <c r="H31" s="57">
        <v>0</v>
      </c>
      <c r="I31" s="24"/>
      <c r="K31" s="47"/>
      <c r="T31" s="1"/>
      <c r="U31" s="21"/>
    </row>
    <row r="32" spans="1:21" ht="15.75" customHeight="1">
      <c r="A32" s="10">
        <v>31</v>
      </c>
      <c r="B32" s="63" t="s">
        <v>142</v>
      </c>
      <c r="C32" s="50">
        <v>21.14</v>
      </c>
      <c r="D32" s="50">
        <v>22.61</v>
      </c>
      <c r="E32" s="50">
        <v>27.65</v>
      </c>
      <c r="F32" s="50">
        <v>17.510000000000002</v>
      </c>
      <c r="G32" s="50">
        <v>11.1</v>
      </c>
      <c r="H32" s="57">
        <v>0</v>
      </c>
      <c r="I32" s="24"/>
      <c r="K32" s="47"/>
      <c r="T32" s="1"/>
      <c r="U32" s="21"/>
    </row>
    <row r="33" spans="1:21" ht="15.75" customHeight="1">
      <c r="A33" s="10">
        <v>32</v>
      </c>
      <c r="B33" s="63" t="s">
        <v>143</v>
      </c>
      <c r="C33" s="50">
        <v>23.57</v>
      </c>
      <c r="D33" s="50">
        <v>31.85</v>
      </c>
      <c r="E33" s="50">
        <v>25.25</v>
      </c>
      <c r="F33" s="50">
        <v>10.7</v>
      </c>
      <c r="G33" s="50">
        <v>8.6199999999999992</v>
      </c>
      <c r="H33" s="57">
        <v>0</v>
      </c>
      <c r="I33" s="24"/>
      <c r="K33" s="47"/>
      <c r="T33" s="1"/>
      <c r="U33" s="21"/>
    </row>
    <row r="34" spans="1:21" ht="15.75" customHeight="1">
      <c r="A34" s="10">
        <v>33</v>
      </c>
      <c r="B34" s="63" t="s">
        <v>144</v>
      </c>
      <c r="C34" s="50">
        <v>20.27</v>
      </c>
      <c r="D34" s="50">
        <v>32.1</v>
      </c>
      <c r="E34" s="50">
        <v>22.88</v>
      </c>
      <c r="F34" s="50">
        <v>14.06</v>
      </c>
      <c r="G34" s="50">
        <v>10.69</v>
      </c>
      <c r="H34" s="57">
        <v>0</v>
      </c>
      <c r="I34" s="24"/>
      <c r="K34" s="47"/>
      <c r="T34" s="1"/>
      <c r="U34" s="21"/>
    </row>
    <row r="35" spans="1:21" ht="15.75" customHeight="1">
      <c r="A35" s="10">
        <v>34</v>
      </c>
      <c r="B35" s="63" t="s">
        <v>145</v>
      </c>
      <c r="C35" s="50">
        <v>20.92</v>
      </c>
      <c r="D35" s="50">
        <v>32.85</v>
      </c>
      <c r="E35" s="50">
        <v>21.1</v>
      </c>
      <c r="F35" s="50">
        <v>16.73</v>
      </c>
      <c r="G35" s="50">
        <v>7.5</v>
      </c>
      <c r="H35" s="57">
        <v>0</v>
      </c>
      <c r="K35" s="47"/>
    </row>
    <row r="36" spans="1:21" ht="15.75" customHeight="1">
      <c r="A36" s="10">
        <v>35</v>
      </c>
      <c r="B36" s="63" t="s">
        <v>146</v>
      </c>
      <c r="C36" s="50">
        <v>28.92</v>
      </c>
      <c r="D36" s="50">
        <v>22.49</v>
      </c>
      <c r="E36" s="50">
        <v>23.51</v>
      </c>
      <c r="F36" s="50">
        <v>16.260000000000002</v>
      </c>
      <c r="G36" s="50">
        <v>8.82</v>
      </c>
      <c r="H36" s="57">
        <v>0</v>
      </c>
      <c r="I36" s="24"/>
    </row>
    <row r="37" spans="1:21" ht="15.75" customHeight="1">
      <c r="A37" s="10">
        <v>36</v>
      </c>
      <c r="B37" s="63" t="s">
        <v>147</v>
      </c>
      <c r="C37" s="50">
        <v>27.28</v>
      </c>
      <c r="D37" s="50">
        <v>28.82</v>
      </c>
      <c r="E37" s="50">
        <v>21.29</v>
      </c>
      <c r="F37" s="50">
        <v>13.01</v>
      </c>
      <c r="G37" s="50">
        <v>9.61</v>
      </c>
      <c r="H37" s="57">
        <v>0</v>
      </c>
      <c r="I37" s="21"/>
    </row>
    <row r="38" spans="1:21" ht="15.75" customHeight="1">
      <c r="A38" s="10">
        <v>37</v>
      </c>
      <c r="B38" s="61" t="s">
        <v>148</v>
      </c>
      <c r="C38" s="51">
        <v>12</v>
      </c>
      <c r="D38" s="51">
        <v>24</v>
      </c>
      <c r="E38" s="51">
        <v>21</v>
      </c>
      <c r="F38" s="51">
        <v>21</v>
      </c>
      <c r="G38" s="51">
        <v>29</v>
      </c>
      <c r="H38" s="57">
        <v>0</v>
      </c>
      <c r="I38" s="24"/>
    </row>
    <row r="39" spans="1:21" ht="15.75" customHeight="1">
      <c r="A39" s="10">
        <v>38</v>
      </c>
      <c r="B39" s="63" t="s">
        <v>149</v>
      </c>
      <c r="C39" s="48">
        <v>7.88</v>
      </c>
      <c r="D39" s="48">
        <v>20.81</v>
      </c>
      <c r="E39" s="48">
        <v>14.05</v>
      </c>
      <c r="F39" s="48">
        <v>19.34</v>
      </c>
      <c r="G39" s="48">
        <v>37.92</v>
      </c>
      <c r="H39" s="56">
        <v>0</v>
      </c>
      <c r="I39" s="24"/>
    </row>
    <row r="40" spans="1:21" ht="15.75" customHeight="1">
      <c r="A40" s="10">
        <v>39</v>
      </c>
      <c r="B40" s="63" t="s">
        <v>150</v>
      </c>
      <c r="C40" s="52">
        <v>11.76</v>
      </c>
      <c r="D40" s="52">
        <v>11.76</v>
      </c>
      <c r="E40" s="52">
        <v>23.52</v>
      </c>
      <c r="F40" s="52">
        <v>23.52</v>
      </c>
      <c r="G40" s="52">
        <v>29.41</v>
      </c>
      <c r="H40" s="57">
        <v>0</v>
      </c>
      <c r="I40" s="24"/>
      <c r="L40" s="47"/>
      <c r="M40" s="54"/>
      <c r="N40" s="47"/>
      <c r="O40" s="47"/>
      <c r="P40" s="47"/>
      <c r="Q40" s="47"/>
      <c r="R40" s="47"/>
      <c r="S40" s="26"/>
    </row>
    <row r="41" spans="1:21" ht="15.75" customHeight="1">
      <c r="A41" s="10">
        <v>40</v>
      </c>
      <c r="B41" s="63" t="s">
        <v>151</v>
      </c>
      <c r="C41" s="50">
        <v>9.9</v>
      </c>
      <c r="D41" s="50">
        <v>20.260000000000002</v>
      </c>
      <c r="E41" s="50">
        <v>18.5</v>
      </c>
      <c r="F41" s="50">
        <v>26.43</v>
      </c>
      <c r="G41" s="50">
        <v>24.91</v>
      </c>
      <c r="H41" s="57">
        <v>0</v>
      </c>
      <c r="I41" s="58"/>
    </row>
    <row r="42" spans="1:21" ht="15.75" customHeight="1">
      <c r="A42" s="10">
        <v>41</v>
      </c>
      <c r="B42" s="63" t="s">
        <v>152</v>
      </c>
      <c r="C42" s="50">
        <v>7.88</v>
      </c>
      <c r="D42" s="50">
        <v>20.81</v>
      </c>
      <c r="E42" s="50">
        <v>14.05</v>
      </c>
      <c r="F42" s="50">
        <v>19.34</v>
      </c>
      <c r="G42" s="50">
        <v>37.92</v>
      </c>
      <c r="H42" s="57">
        <v>0</v>
      </c>
    </row>
    <row r="43" spans="1:21" ht="15.75" customHeight="1">
      <c r="A43" s="10">
        <v>42</v>
      </c>
      <c r="B43" s="63" t="s">
        <v>153</v>
      </c>
      <c r="C43" s="50">
        <v>8.1</v>
      </c>
      <c r="D43" s="50">
        <v>19.399999999999999</v>
      </c>
      <c r="E43" s="50">
        <v>15.9</v>
      </c>
      <c r="F43" s="50">
        <v>30.89</v>
      </c>
      <c r="G43" s="50">
        <v>25.73</v>
      </c>
      <c r="H43" s="57">
        <v>0</v>
      </c>
    </row>
    <row r="44" spans="1:21" ht="15.75" customHeight="1">
      <c r="A44" s="10">
        <v>43</v>
      </c>
      <c r="B44" s="63" t="s">
        <v>154</v>
      </c>
      <c r="C44" s="50">
        <v>11.06</v>
      </c>
      <c r="D44" s="50">
        <v>21.05</v>
      </c>
      <c r="E44" s="50">
        <v>17.61</v>
      </c>
      <c r="F44" s="50">
        <v>26.22</v>
      </c>
      <c r="G44" s="50">
        <v>24.06</v>
      </c>
      <c r="H44" s="57">
        <v>0</v>
      </c>
    </row>
    <row r="45" spans="1:21" ht="15.75" customHeight="1">
      <c r="A45" s="10">
        <v>44</v>
      </c>
      <c r="B45" s="63" t="s">
        <v>155</v>
      </c>
      <c r="C45" s="50">
        <v>13.61</v>
      </c>
      <c r="D45" s="50">
        <v>19.059999999999999</v>
      </c>
      <c r="E45" s="50">
        <v>21.97</v>
      </c>
      <c r="F45" s="50">
        <v>22.71</v>
      </c>
      <c r="G45" s="50">
        <v>22.66</v>
      </c>
      <c r="H45" s="57">
        <v>0</v>
      </c>
    </row>
    <row r="46" spans="1:21" ht="15.75" customHeight="1">
      <c r="A46" s="10">
        <v>45</v>
      </c>
      <c r="B46" s="63" t="s">
        <v>156</v>
      </c>
      <c r="C46" s="50">
        <v>11.93</v>
      </c>
      <c r="D46" s="50">
        <v>16.75</v>
      </c>
      <c r="E46" s="50">
        <v>21.59</v>
      </c>
      <c r="F46" s="50">
        <v>24.63</v>
      </c>
      <c r="G46" s="50">
        <v>25.1</v>
      </c>
      <c r="H46" s="57">
        <v>0</v>
      </c>
    </row>
    <row r="47" spans="1:21" ht="15.75" customHeight="1">
      <c r="A47" s="10">
        <v>46</v>
      </c>
      <c r="B47" s="63" t="s">
        <v>157</v>
      </c>
      <c r="C47" s="50">
        <v>16.07</v>
      </c>
      <c r="D47" s="50">
        <v>24.63</v>
      </c>
      <c r="E47" s="50">
        <v>29.15</v>
      </c>
      <c r="F47" s="50">
        <v>22.12</v>
      </c>
      <c r="G47" s="50">
        <v>30.15</v>
      </c>
      <c r="H47" s="57">
        <v>0</v>
      </c>
    </row>
    <row r="48" spans="1:21" ht="15.75" customHeight="1">
      <c r="A48" s="10">
        <v>47</v>
      </c>
      <c r="B48" s="63" t="s">
        <v>158</v>
      </c>
      <c r="C48" s="50">
        <v>10.19</v>
      </c>
      <c r="D48" s="50">
        <v>18.53</v>
      </c>
      <c r="E48" s="50">
        <v>21.11</v>
      </c>
      <c r="F48" s="50">
        <v>23.26</v>
      </c>
      <c r="G48" s="50">
        <v>26.91</v>
      </c>
      <c r="H48" s="57">
        <v>0</v>
      </c>
    </row>
    <row r="49" spans="1:28" ht="15.75" customHeight="1">
      <c r="A49" s="10">
        <v>48</v>
      </c>
      <c r="B49" s="63" t="s">
        <v>159</v>
      </c>
      <c r="C49" s="50">
        <v>11.9</v>
      </c>
      <c r="D49" s="50">
        <v>17.350000000000001</v>
      </c>
      <c r="E49" s="50">
        <v>26.12</v>
      </c>
      <c r="F49" s="50">
        <v>22.82</v>
      </c>
      <c r="G49" s="50">
        <v>21.81</v>
      </c>
      <c r="H49" s="57">
        <v>0</v>
      </c>
    </row>
    <row r="50" spans="1:28" ht="15.75" customHeight="1">
      <c r="A50" s="10">
        <v>49</v>
      </c>
      <c r="B50" s="63" t="s">
        <v>160</v>
      </c>
      <c r="C50" s="50">
        <v>15.56</v>
      </c>
      <c r="D50" s="50">
        <v>19.88</v>
      </c>
      <c r="E50" s="50">
        <v>29.38</v>
      </c>
      <c r="F50" s="50">
        <v>28.71</v>
      </c>
      <c r="G50" s="50">
        <v>24.36</v>
      </c>
      <c r="H50" s="57">
        <v>0</v>
      </c>
    </row>
    <row r="51" spans="1:28" ht="15.75" customHeight="1">
      <c r="A51" s="10">
        <v>50</v>
      </c>
      <c r="B51" s="63" t="s">
        <v>161</v>
      </c>
      <c r="C51" s="50">
        <v>14.74</v>
      </c>
      <c r="D51" s="50">
        <v>16.96</v>
      </c>
      <c r="E51" s="50">
        <v>21.82</v>
      </c>
      <c r="F51" s="50">
        <v>25.22</v>
      </c>
      <c r="G51" s="50">
        <v>21.26</v>
      </c>
      <c r="H51" s="57">
        <v>0</v>
      </c>
      <c r="I51" s="24"/>
    </row>
    <row r="52" spans="1:28" ht="15.75" customHeight="1">
      <c r="A52" s="10">
        <v>51</v>
      </c>
      <c r="B52" s="63" t="s">
        <v>162</v>
      </c>
      <c r="C52" s="50">
        <v>8.67</v>
      </c>
      <c r="D52" s="50">
        <v>13.46</v>
      </c>
      <c r="E52" s="50">
        <v>19.59</v>
      </c>
      <c r="F52" s="50">
        <v>33.53</v>
      </c>
      <c r="G52" s="50">
        <v>24.76</v>
      </c>
      <c r="H52" s="57">
        <v>0</v>
      </c>
      <c r="I52" s="24"/>
    </row>
    <row r="53" spans="1:28" ht="15.75" customHeight="1">
      <c r="A53" s="10">
        <v>52</v>
      </c>
      <c r="B53" s="63" t="s">
        <v>163</v>
      </c>
      <c r="C53" s="50">
        <v>8.6199999999999992</v>
      </c>
      <c r="D53" s="50">
        <v>28.99</v>
      </c>
      <c r="E53" s="50">
        <v>22.38</v>
      </c>
      <c r="F53" s="50">
        <v>21.2</v>
      </c>
      <c r="G53" s="50">
        <v>35.21</v>
      </c>
      <c r="H53" s="57">
        <v>0</v>
      </c>
      <c r="I53" s="21"/>
    </row>
    <row r="54" spans="1:28" ht="15.75" customHeight="1">
      <c r="A54" s="10">
        <v>53</v>
      </c>
      <c r="B54" s="63" t="s">
        <v>164</v>
      </c>
      <c r="C54" s="50">
        <v>11.65</v>
      </c>
      <c r="D54" s="50">
        <v>18.14</v>
      </c>
      <c r="E54" s="50">
        <v>26.3</v>
      </c>
      <c r="F54" s="50">
        <v>22.31</v>
      </c>
      <c r="G54" s="50">
        <v>21.6</v>
      </c>
      <c r="H54" s="57">
        <v>0</v>
      </c>
      <c r="I54" s="21"/>
    </row>
    <row r="55" spans="1:28" ht="15.75" customHeight="1">
      <c r="A55" s="10">
        <v>54</v>
      </c>
      <c r="B55" s="63" t="s">
        <v>165</v>
      </c>
      <c r="C55" s="50">
        <v>9.86</v>
      </c>
      <c r="D55" s="50">
        <v>16.149999999999999</v>
      </c>
      <c r="E55" s="50">
        <v>28.62</v>
      </c>
      <c r="F55" s="50">
        <v>25.78</v>
      </c>
      <c r="G55" s="50">
        <v>19.59</v>
      </c>
      <c r="H55" s="57">
        <v>0</v>
      </c>
      <c r="I55" s="21"/>
      <c r="U55" s="33"/>
      <c r="W55" s="27"/>
      <c r="X55" s="34"/>
      <c r="Y55" s="35"/>
      <c r="Z55" s="29"/>
      <c r="AA55" s="27"/>
      <c r="AB55" s="27"/>
    </row>
    <row r="56" spans="1:28" ht="15.75" customHeight="1">
      <c r="A56" s="10">
        <v>55</v>
      </c>
      <c r="B56" s="63" t="s">
        <v>166</v>
      </c>
      <c r="C56" s="50">
        <v>12.14</v>
      </c>
      <c r="D56" s="50">
        <v>16.93</v>
      </c>
      <c r="E56" s="50">
        <v>23.38</v>
      </c>
      <c r="F56" s="50">
        <v>27.55</v>
      </c>
      <c r="G56" s="50">
        <v>19.100000000000001</v>
      </c>
      <c r="H56" s="57">
        <v>0</v>
      </c>
      <c r="I56" s="21"/>
      <c r="U56" s="1"/>
      <c r="W56" s="1"/>
      <c r="X56" s="1"/>
      <c r="Y56" s="1"/>
      <c r="Z56" s="1"/>
      <c r="AA56" s="1"/>
      <c r="AB56" s="1"/>
    </row>
    <row r="57" spans="1:28" ht="15.75" customHeight="1">
      <c r="A57" s="10">
        <v>56</v>
      </c>
      <c r="B57" s="63" t="s">
        <v>167</v>
      </c>
      <c r="C57" s="50">
        <v>11.38</v>
      </c>
      <c r="D57" s="50">
        <v>15.27</v>
      </c>
      <c r="E57" s="50">
        <v>23.91</v>
      </c>
      <c r="F57" s="50">
        <v>19.649999999999999</v>
      </c>
      <c r="G57" s="50">
        <v>29.79</v>
      </c>
      <c r="H57" s="57">
        <v>0</v>
      </c>
      <c r="I57" s="21"/>
      <c r="U57" s="1"/>
    </row>
    <row r="58" spans="1:28" ht="15.75" customHeight="1">
      <c r="A58" s="10">
        <v>57</v>
      </c>
      <c r="B58" s="63" t="s">
        <v>168</v>
      </c>
      <c r="C58" s="50">
        <v>14.18</v>
      </c>
      <c r="D58" s="50">
        <v>13.6</v>
      </c>
      <c r="E58" s="50">
        <v>23.47</v>
      </c>
      <c r="F58" s="50">
        <v>23.4</v>
      </c>
      <c r="G58" s="50">
        <v>25.36</v>
      </c>
      <c r="H58" s="57">
        <v>0</v>
      </c>
      <c r="I58" s="24"/>
      <c r="U58" s="1"/>
    </row>
    <row r="59" spans="1:28" ht="15.75" customHeight="1">
      <c r="A59" s="10">
        <v>58</v>
      </c>
      <c r="B59" s="63" t="s">
        <v>173</v>
      </c>
      <c r="C59" s="50">
        <v>6.4</v>
      </c>
      <c r="D59" s="50">
        <v>19.899999999999999</v>
      </c>
      <c r="E59" s="50">
        <v>27.9</v>
      </c>
      <c r="F59" s="50">
        <v>20.7</v>
      </c>
      <c r="G59" s="50">
        <v>25.2</v>
      </c>
      <c r="H59" s="56">
        <v>1</v>
      </c>
      <c r="I59" s="21"/>
      <c r="U59" s="1"/>
      <c r="W59" s="1"/>
      <c r="X59" s="1"/>
      <c r="Y59" s="1"/>
      <c r="Z59" s="1"/>
      <c r="AA59" s="1"/>
      <c r="AB59" s="1"/>
    </row>
    <row r="60" spans="1:28" ht="15.75" customHeight="1">
      <c r="A60" s="10">
        <v>59</v>
      </c>
      <c r="B60" s="63" t="s">
        <v>174</v>
      </c>
      <c r="C60" s="50">
        <v>9.9</v>
      </c>
      <c r="D60" s="50">
        <v>17</v>
      </c>
      <c r="E60" s="50">
        <v>22.6</v>
      </c>
      <c r="F60" s="50">
        <v>21.7</v>
      </c>
      <c r="G60" s="50">
        <v>28.7</v>
      </c>
      <c r="H60" s="56">
        <v>1</v>
      </c>
      <c r="I60" s="21"/>
      <c r="U60" s="1"/>
      <c r="W60" s="36"/>
      <c r="X60" s="1"/>
      <c r="Y60" s="1"/>
      <c r="Z60" s="1"/>
      <c r="AA60" s="1"/>
      <c r="AB60" s="1"/>
    </row>
    <row r="61" spans="1:28" ht="15.75" customHeight="1">
      <c r="A61" s="10">
        <v>60</v>
      </c>
      <c r="B61" s="63" t="s">
        <v>175</v>
      </c>
      <c r="C61" s="50">
        <v>7.7</v>
      </c>
      <c r="D61" s="50">
        <v>17.600000000000001</v>
      </c>
      <c r="E61" s="50">
        <v>20.2</v>
      </c>
      <c r="F61" s="50">
        <v>27.2</v>
      </c>
      <c r="G61" s="53">
        <v>27</v>
      </c>
      <c r="H61" s="56">
        <v>1</v>
      </c>
      <c r="W61" s="37"/>
    </row>
    <row r="62" spans="1:28" ht="15.75" customHeight="1">
      <c r="A62" s="10">
        <v>61</v>
      </c>
      <c r="B62" s="63" t="s">
        <v>176</v>
      </c>
      <c r="C62" s="50">
        <v>5.9</v>
      </c>
      <c r="D62" s="50">
        <v>15</v>
      </c>
      <c r="E62" s="50">
        <v>22.3</v>
      </c>
      <c r="F62" s="50">
        <v>27.6</v>
      </c>
      <c r="G62" s="50">
        <v>29.1</v>
      </c>
      <c r="H62" s="56">
        <v>1</v>
      </c>
    </row>
    <row r="63" spans="1:28" ht="15.75" customHeight="1">
      <c r="A63" s="10">
        <v>62</v>
      </c>
      <c r="B63" s="63" t="s">
        <v>177</v>
      </c>
      <c r="C63" s="50">
        <v>7.2</v>
      </c>
      <c r="D63" s="50">
        <v>19.100000000000001</v>
      </c>
      <c r="E63" s="50">
        <v>19.600000000000001</v>
      </c>
      <c r="F63" s="50">
        <v>27.5</v>
      </c>
      <c r="G63" s="50">
        <v>26.6</v>
      </c>
      <c r="H63" s="56">
        <v>1</v>
      </c>
    </row>
    <row r="64" spans="1:28" ht="15.75" customHeight="1">
      <c r="A64" s="10">
        <v>63</v>
      </c>
      <c r="B64" s="63" t="s">
        <v>178</v>
      </c>
      <c r="C64" s="50">
        <v>9.1</v>
      </c>
      <c r="D64" s="50">
        <v>23.2</v>
      </c>
      <c r="E64" s="50">
        <v>27.5</v>
      </c>
      <c r="F64" s="50">
        <v>34.5</v>
      </c>
      <c r="G64" s="50">
        <v>26.6</v>
      </c>
      <c r="H64" s="56">
        <v>1</v>
      </c>
    </row>
    <row r="65" spans="1:8" ht="15.75" customHeight="1">
      <c r="A65" s="10">
        <v>64</v>
      </c>
      <c r="B65" s="63" t="s">
        <v>179</v>
      </c>
      <c r="C65" s="50">
        <v>9.9</v>
      </c>
      <c r="D65" s="50">
        <v>17</v>
      </c>
      <c r="E65" s="50">
        <v>22.6</v>
      </c>
      <c r="F65" s="50">
        <v>21.7</v>
      </c>
      <c r="G65" s="50">
        <v>28.7</v>
      </c>
      <c r="H65" s="56">
        <v>1</v>
      </c>
    </row>
    <row r="66" spans="1:8" ht="15.75" customHeight="1">
      <c r="A66" s="10">
        <v>65</v>
      </c>
      <c r="B66" s="63" t="s">
        <v>180</v>
      </c>
      <c r="C66" s="50">
        <v>7.7</v>
      </c>
      <c r="D66" s="50">
        <v>17.600000000000001</v>
      </c>
      <c r="E66" s="50">
        <v>20.2</v>
      </c>
      <c r="F66" s="50">
        <v>27.2</v>
      </c>
      <c r="G66" s="53">
        <v>27</v>
      </c>
      <c r="H66" s="56">
        <v>1</v>
      </c>
    </row>
    <row r="67" spans="1:8" ht="15.75" customHeight="1">
      <c r="A67" s="10">
        <v>66</v>
      </c>
      <c r="B67" s="63" t="s">
        <v>181</v>
      </c>
      <c r="C67" s="50">
        <v>5.9</v>
      </c>
      <c r="D67" s="50">
        <v>15</v>
      </c>
      <c r="E67" s="50">
        <v>22.3</v>
      </c>
      <c r="F67" s="50">
        <v>27.6</v>
      </c>
      <c r="G67" s="50">
        <v>29.1</v>
      </c>
      <c r="H67" s="56">
        <v>1</v>
      </c>
    </row>
    <row r="68" spans="1:8" ht="15.75" customHeight="1">
      <c r="A68" s="10">
        <v>67</v>
      </c>
      <c r="B68" s="63" t="s">
        <v>182</v>
      </c>
      <c r="C68" s="50">
        <v>7.2</v>
      </c>
      <c r="D68" s="50">
        <v>19.100000000000001</v>
      </c>
      <c r="E68" s="50">
        <v>19.600000000000001</v>
      </c>
      <c r="F68" s="50">
        <v>27.5</v>
      </c>
      <c r="G68" s="50">
        <v>26.6</v>
      </c>
      <c r="H68" s="56">
        <v>1</v>
      </c>
    </row>
    <row r="69" spans="1:8" ht="15.75" customHeight="1">
      <c r="A69" s="10">
        <v>68</v>
      </c>
      <c r="B69" s="63" t="s">
        <v>183</v>
      </c>
      <c r="C69" s="50">
        <v>9.1</v>
      </c>
      <c r="D69" s="50">
        <v>23.2</v>
      </c>
      <c r="E69" s="50">
        <v>27.5</v>
      </c>
      <c r="F69" s="50">
        <v>34.5</v>
      </c>
      <c r="G69" s="50">
        <v>26.6</v>
      </c>
      <c r="H69" s="56">
        <v>1</v>
      </c>
    </row>
    <row r="70" spans="1:8" ht="15.75" customHeight="1">
      <c r="A70" s="10"/>
      <c r="C70" s="15"/>
      <c r="D70" s="15"/>
      <c r="E70" s="15"/>
      <c r="F70" s="15"/>
      <c r="G70" s="15"/>
      <c r="H70" s="56"/>
    </row>
    <row r="71" spans="1:8" ht="15.75" customHeight="1">
      <c r="A71" s="10"/>
      <c r="C71" s="15"/>
      <c r="D71" s="15"/>
      <c r="E71" s="15"/>
      <c r="F71" s="15"/>
      <c r="G71" s="15"/>
      <c r="H71" s="56"/>
    </row>
    <row r="72" spans="1:8" ht="15.75" customHeight="1">
      <c r="A72" s="10"/>
      <c r="C72" s="15"/>
      <c r="D72" s="15"/>
      <c r="E72" s="15"/>
      <c r="F72" s="15"/>
      <c r="G72" s="15"/>
      <c r="H72" s="56"/>
    </row>
    <row r="73" spans="1:8" ht="15.75" customHeight="1">
      <c r="A73" s="10"/>
      <c r="C73" s="15"/>
      <c r="D73" s="15"/>
      <c r="E73" s="15"/>
      <c r="F73" s="15"/>
      <c r="G73" s="15"/>
      <c r="H73" s="56"/>
    </row>
    <row r="74" spans="1:8" ht="15.75" customHeight="1">
      <c r="A74" s="10"/>
      <c r="C74" s="15"/>
      <c r="D74" s="15"/>
      <c r="E74" s="15"/>
      <c r="F74" s="15"/>
      <c r="G74" s="15"/>
      <c r="H74" s="56"/>
    </row>
    <row r="75" spans="1:8" ht="15.75" customHeight="1">
      <c r="A75" s="10"/>
      <c r="C75" s="15"/>
      <c r="D75" s="15"/>
      <c r="E75" s="15"/>
      <c r="F75" s="15"/>
      <c r="G75" s="15"/>
      <c r="H75" s="56"/>
    </row>
    <row r="76" spans="1:8" ht="15.75" customHeight="1">
      <c r="A76" s="10"/>
      <c r="H76" s="56"/>
    </row>
    <row r="77" spans="1:8" ht="15.75" customHeight="1">
      <c r="A77" s="10"/>
      <c r="C77" s="24"/>
      <c r="D77" s="26"/>
      <c r="E77" s="24"/>
      <c r="F77" s="25"/>
      <c r="G77" s="25"/>
      <c r="H77" s="56"/>
    </row>
    <row r="78" spans="1:8" ht="15.75" customHeight="1">
      <c r="A78" s="10"/>
      <c r="C78" s="24"/>
      <c r="D78" s="26"/>
      <c r="E78" s="24"/>
      <c r="F78" s="25"/>
      <c r="G78" s="25"/>
      <c r="H78" s="56"/>
    </row>
    <row r="79" spans="1:8" ht="15.75" customHeight="1">
      <c r="A79" s="10"/>
      <c r="C79" s="21"/>
      <c r="D79" s="19"/>
      <c r="E79" s="31"/>
      <c r="F79" s="30"/>
      <c r="G79" s="30"/>
      <c r="H79" s="56"/>
    </row>
    <row r="80" spans="1:8" ht="15.75" customHeight="1">
      <c r="A80" s="10"/>
      <c r="C80" s="21"/>
      <c r="D80" s="19"/>
      <c r="E80" s="31"/>
      <c r="F80" s="30"/>
      <c r="G80" s="30"/>
      <c r="H80" s="56"/>
    </row>
    <row r="81" spans="1:20" ht="15.75" customHeight="1">
      <c r="N81" s="27"/>
      <c r="O81" s="25"/>
      <c r="P81" s="25"/>
    </row>
    <row r="82" spans="1:20" ht="15.75" customHeight="1">
      <c r="O82" s="38"/>
      <c r="P82" s="25"/>
      <c r="Q82" s="25"/>
    </row>
    <row r="83" spans="1:20" ht="15.75" customHeight="1">
      <c r="O83" s="1"/>
      <c r="P83" s="25"/>
      <c r="Q83" s="25"/>
    </row>
    <row r="84" spans="1:20" ht="15.75" customHeight="1">
      <c r="O84" s="27"/>
      <c r="P84" s="25"/>
      <c r="Q84" s="25"/>
    </row>
    <row r="85" spans="1:20" ht="15.75" customHeight="1"/>
    <row r="86" spans="1:20" ht="15.75" customHeight="1">
      <c r="P86" s="27"/>
      <c r="Q86" s="34"/>
      <c r="R86" s="35"/>
      <c r="S86" s="29"/>
      <c r="T86" s="27"/>
    </row>
    <row r="87" spans="1:20" ht="15.75" customHeight="1">
      <c r="O87" s="1"/>
      <c r="P87" s="30"/>
      <c r="Q87" s="25"/>
      <c r="R87" s="25"/>
      <c r="S87" s="25"/>
      <c r="T87" s="25"/>
    </row>
    <row r="88" spans="1:20" ht="15.75" customHeight="1">
      <c r="O88" s="1"/>
      <c r="P88" s="25"/>
      <c r="Q88" s="25"/>
      <c r="R88" s="25"/>
      <c r="S88" s="25"/>
      <c r="T88" s="25"/>
    </row>
    <row r="89" spans="1:20" ht="15.75" customHeight="1"/>
    <row r="90" spans="1:20" ht="15.75" customHeight="1"/>
    <row r="91" spans="1:20" ht="15.75" customHeight="1"/>
    <row r="92" spans="1:20" ht="15.75" customHeight="1">
      <c r="A92" s="10"/>
      <c r="C92" s="50"/>
      <c r="D92" s="50"/>
      <c r="E92" s="50"/>
      <c r="F92" s="50"/>
      <c r="G92" s="50"/>
      <c r="H92" s="56"/>
    </row>
    <row r="93" spans="1:20" ht="15.75" customHeight="1">
      <c r="A93" s="10"/>
      <c r="C93" s="50"/>
      <c r="D93" s="50"/>
      <c r="E93" s="50"/>
      <c r="F93" s="50"/>
      <c r="G93" s="50"/>
      <c r="H93" s="56"/>
    </row>
    <row r="94" spans="1:20" ht="15.75" customHeight="1">
      <c r="A94" s="10"/>
      <c r="C94" s="50"/>
      <c r="D94" s="50"/>
      <c r="E94" s="50"/>
      <c r="F94" s="50"/>
      <c r="G94" s="50"/>
      <c r="H94" s="56"/>
    </row>
    <row r="95" spans="1:20" ht="15.75" customHeight="1">
      <c r="A95" s="10"/>
      <c r="C95" s="47"/>
      <c r="D95" s="47"/>
      <c r="E95" s="47"/>
      <c r="F95" s="47"/>
      <c r="G95" s="47"/>
      <c r="H95" s="56"/>
    </row>
    <row r="96" spans="1:20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workbookViewId="0">
      <selection activeCell="K105" sqref="K105"/>
    </sheetView>
  </sheetViews>
  <sheetFormatPr defaultColWidth="14.42578125" defaultRowHeight="15" customHeight="1"/>
  <cols>
    <col min="1" max="1" width="8.7109375" customWidth="1"/>
    <col min="2" max="2" width="18.42578125" customWidth="1"/>
    <col min="3" max="4" width="9.5703125" customWidth="1"/>
    <col min="5" max="5" width="8.85546875" customWidth="1"/>
    <col min="6" max="6" width="9.85546875" customWidth="1"/>
    <col min="7" max="7" width="8.85546875" customWidth="1"/>
    <col min="8" max="8" width="8.7109375" customWidth="1"/>
    <col min="9" max="9" width="13.42578125" customWidth="1"/>
    <col min="10" max="23" width="8.7109375" customWidth="1"/>
  </cols>
  <sheetData>
    <row r="1" spans="1:8" ht="15" customHeight="1">
      <c r="A1" s="59" t="s">
        <v>2</v>
      </c>
      <c r="B1" s="1" t="s">
        <v>3</v>
      </c>
      <c r="C1" s="1" t="s">
        <v>106</v>
      </c>
      <c r="D1" s="1" t="s">
        <v>101</v>
      </c>
      <c r="E1" s="1" t="s">
        <v>107</v>
      </c>
      <c r="F1" s="1" t="s">
        <v>105</v>
      </c>
      <c r="G1" s="1" t="s">
        <v>104</v>
      </c>
      <c r="H1" s="64" t="s">
        <v>109</v>
      </c>
    </row>
    <row r="2" spans="1:8">
      <c r="A2">
        <v>1</v>
      </c>
      <c r="B2" t="s">
        <v>110</v>
      </c>
      <c r="C2" s="39">
        <v>18</v>
      </c>
      <c r="D2" s="1">
        <v>22</v>
      </c>
      <c r="E2" s="1">
        <v>40</v>
      </c>
      <c r="F2" s="1">
        <v>9</v>
      </c>
      <c r="G2" s="1">
        <v>9</v>
      </c>
      <c r="H2">
        <v>0</v>
      </c>
    </row>
    <row r="3" spans="1:8">
      <c r="A3">
        <v>2</v>
      </c>
      <c r="B3" t="s">
        <v>111</v>
      </c>
      <c r="C3" s="39">
        <v>13</v>
      </c>
      <c r="D3" s="1">
        <v>28</v>
      </c>
      <c r="E3" s="1">
        <v>35</v>
      </c>
      <c r="F3" s="1">
        <v>11</v>
      </c>
      <c r="G3" s="1">
        <v>10</v>
      </c>
      <c r="H3">
        <v>0</v>
      </c>
    </row>
    <row r="4" spans="1:8">
      <c r="A4">
        <v>3</v>
      </c>
      <c r="B4" t="s">
        <v>184</v>
      </c>
      <c r="C4" s="39">
        <v>11</v>
      </c>
      <c r="D4" s="1">
        <v>22</v>
      </c>
      <c r="E4" s="1">
        <v>41</v>
      </c>
      <c r="F4" s="1">
        <v>15</v>
      </c>
      <c r="G4" s="1">
        <v>9</v>
      </c>
      <c r="H4">
        <v>0</v>
      </c>
    </row>
    <row r="5" spans="1:8">
      <c r="A5">
        <v>4</v>
      </c>
      <c r="B5" t="s">
        <v>113</v>
      </c>
      <c r="C5" s="39">
        <v>16</v>
      </c>
      <c r="D5" s="1">
        <v>17</v>
      </c>
      <c r="E5" s="1">
        <v>47</v>
      </c>
      <c r="F5" s="1">
        <v>8</v>
      </c>
      <c r="G5" s="1">
        <v>9</v>
      </c>
      <c r="H5">
        <v>0</v>
      </c>
    </row>
    <row r="6" spans="1:8">
      <c r="A6">
        <v>5</v>
      </c>
      <c r="B6" t="s">
        <v>114</v>
      </c>
      <c r="C6" s="39">
        <v>17</v>
      </c>
      <c r="D6" s="1">
        <v>38</v>
      </c>
      <c r="E6" s="1">
        <v>11</v>
      </c>
      <c r="F6" s="1">
        <v>18</v>
      </c>
      <c r="G6" s="1">
        <v>14</v>
      </c>
      <c r="H6">
        <v>0</v>
      </c>
    </row>
    <row r="7" spans="1:8">
      <c r="A7">
        <v>6</v>
      </c>
      <c r="B7" t="s">
        <v>115</v>
      </c>
      <c r="C7" s="39">
        <v>19</v>
      </c>
      <c r="D7" s="1">
        <v>25</v>
      </c>
      <c r="E7" s="1">
        <v>30</v>
      </c>
      <c r="F7" s="1">
        <v>12</v>
      </c>
      <c r="G7" s="1">
        <v>11</v>
      </c>
      <c r="H7">
        <v>0</v>
      </c>
    </row>
    <row r="8" spans="1:8">
      <c r="A8">
        <v>7</v>
      </c>
      <c r="B8" t="s">
        <v>116</v>
      </c>
      <c r="C8" s="39">
        <v>15</v>
      </c>
      <c r="D8" s="1">
        <v>21</v>
      </c>
      <c r="E8" s="1">
        <v>34</v>
      </c>
      <c r="F8" s="1">
        <v>13</v>
      </c>
      <c r="G8" s="1">
        <v>15</v>
      </c>
      <c r="H8">
        <v>0</v>
      </c>
    </row>
    <row r="9" spans="1:8">
      <c r="A9">
        <v>8</v>
      </c>
      <c r="B9" t="s">
        <v>117</v>
      </c>
      <c r="C9" s="39">
        <v>13</v>
      </c>
      <c r="D9" s="1">
        <v>24</v>
      </c>
      <c r="E9" s="1">
        <v>37</v>
      </c>
      <c r="F9" s="1">
        <v>15</v>
      </c>
      <c r="G9" s="1">
        <v>8</v>
      </c>
      <c r="H9">
        <v>0</v>
      </c>
    </row>
    <row r="10" spans="1:8">
      <c r="A10">
        <v>9</v>
      </c>
      <c r="B10" t="s">
        <v>118</v>
      </c>
      <c r="C10" s="39">
        <v>16</v>
      </c>
      <c r="D10" s="1">
        <v>24</v>
      </c>
      <c r="E10" s="1">
        <v>37</v>
      </c>
      <c r="F10" s="1">
        <v>12</v>
      </c>
      <c r="G10" s="1">
        <v>8</v>
      </c>
      <c r="H10">
        <v>0</v>
      </c>
    </row>
    <row r="11" spans="1:8">
      <c r="A11">
        <v>10</v>
      </c>
      <c r="B11" t="s">
        <v>119</v>
      </c>
      <c r="C11" s="39">
        <v>18</v>
      </c>
      <c r="D11" s="1">
        <v>24</v>
      </c>
      <c r="E11" s="1">
        <v>30</v>
      </c>
      <c r="F11" s="1">
        <v>17</v>
      </c>
      <c r="G11" s="1">
        <v>8</v>
      </c>
      <c r="H11">
        <v>0</v>
      </c>
    </row>
    <row r="12" spans="1:8">
      <c r="A12">
        <v>11</v>
      </c>
      <c r="B12" t="s">
        <v>120</v>
      </c>
      <c r="C12" s="39">
        <v>20</v>
      </c>
      <c r="D12" s="1">
        <v>19</v>
      </c>
      <c r="E12" s="1">
        <v>32</v>
      </c>
      <c r="F12" s="1">
        <v>16</v>
      </c>
      <c r="G12" s="1">
        <v>12</v>
      </c>
      <c r="H12">
        <v>0</v>
      </c>
    </row>
    <row r="13" spans="1:8">
      <c r="A13">
        <v>12</v>
      </c>
      <c r="B13" t="s">
        <v>121</v>
      </c>
      <c r="C13" s="39">
        <v>13</v>
      </c>
      <c r="D13" s="1">
        <v>24</v>
      </c>
      <c r="E13" s="1">
        <v>33</v>
      </c>
      <c r="F13" s="1">
        <v>14</v>
      </c>
      <c r="G13" s="1">
        <v>13</v>
      </c>
      <c r="H13">
        <v>0</v>
      </c>
    </row>
    <row r="14" spans="1:8">
      <c r="A14">
        <v>13</v>
      </c>
      <c r="B14" t="s">
        <v>122</v>
      </c>
      <c r="C14" s="39">
        <v>15</v>
      </c>
      <c r="D14" s="1">
        <v>20</v>
      </c>
      <c r="E14" s="1">
        <v>39</v>
      </c>
      <c r="F14" s="1">
        <v>13</v>
      </c>
      <c r="G14" s="1">
        <v>11</v>
      </c>
      <c r="H14">
        <v>0</v>
      </c>
    </row>
    <row r="15" spans="1:8">
      <c r="A15">
        <v>14</v>
      </c>
      <c r="B15" t="s">
        <v>123</v>
      </c>
      <c r="C15" s="39">
        <v>22</v>
      </c>
      <c r="D15" s="1">
        <v>21</v>
      </c>
      <c r="E15" s="1">
        <v>19</v>
      </c>
      <c r="F15" s="1">
        <v>14</v>
      </c>
      <c r="G15" s="1">
        <v>22</v>
      </c>
      <c r="H15">
        <v>0</v>
      </c>
    </row>
    <row r="16" spans="1:8">
      <c r="A16">
        <v>15</v>
      </c>
      <c r="B16" t="s">
        <v>124</v>
      </c>
      <c r="C16" s="39">
        <v>22</v>
      </c>
      <c r="D16" s="1">
        <v>19</v>
      </c>
      <c r="E16" s="1">
        <v>20</v>
      </c>
      <c r="F16" s="1">
        <v>19</v>
      </c>
      <c r="G16" s="1">
        <v>18</v>
      </c>
      <c r="H16">
        <v>0</v>
      </c>
    </row>
    <row r="17" spans="1:13">
      <c r="A17">
        <v>16</v>
      </c>
      <c r="B17" t="s">
        <v>125</v>
      </c>
      <c r="C17" s="39">
        <v>19</v>
      </c>
      <c r="D17" s="1">
        <v>24</v>
      </c>
      <c r="E17" s="1">
        <v>34</v>
      </c>
      <c r="F17" s="1">
        <v>7</v>
      </c>
      <c r="G17" s="1">
        <v>13</v>
      </c>
      <c r="H17">
        <v>0</v>
      </c>
    </row>
    <row r="18" spans="1:13">
      <c r="A18">
        <v>17</v>
      </c>
      <c r="B18" t="s">
        <v>126</v>
      </c>
      <c r="C18" s="39">
        <v>19</v>
      </c>
      <c r="D18" s="1">
        <v>21</v>
      </c>
      <c r="E18" s="1">
        <v>30</v>
      </c>
      <c r="F18" s="1">
        <v>16</v>
      </c>
      <c r="G18" s="1">
        <v>12</v>
      </c>
      <c r="H18">
        <v>0</v>
      </c>
    </row>
    <row r="19" spans="1:13">
      <c r="A19">
        <v>18</v>
      </c>
      <c r="B19" t="s">
        <v>127</v>
      </c>
      <c r="C19" s="39">
        <v>18</v>
      </c>
      <c r="D19" s="1">
        <v>21</v>
      </c>
      <c r="E19" s="1">
        <v>33</v>
      </c>
      <c r="F19" s="1">
        <v>15</v>
      </c>
      <c r="G19" s="1">
        <v>10</v>
      </c>
      <c r="H19">
        <v>0</v>
      </c>
    </row>
    <row r="20" spans="1:13">
      <c r="A20">
        <v>19</v>
      </c>
      <c r="B20" t="s">
        <v>128</v>
      </c>
      <c r="C20" s="39">
        <v>25</v>
      </c>
      <c r="D20" s="1">
        <v>19</v>
      </c>
      <c r="E20" s="1">
        <v>35</v>
      </c>
      <c r="F20" s="1">
        <v>11</v>
      </c>
      <c r="G20" s="1">
        <v>7</v>
      </c>
      <c r="H20">
        <v>0</v>
      </c>
    </row>
    <row r="21" spans="1:13" ht="15.75" customHeight="1">
      <c r="A21">
        <v>20</v>
      </c>
      <c r="B21" t="s">
        <v>129</v>
      </c>
      <c r="C21" s="39">
        <v>19</v>
      </c>
      <c r="D21" s="1">
        <v>23</v>
      </c>
      <c r="E21" s="1">
        <v>39</v>
      </c>
      <c r="F21" s="1">
        <v>10</v>
      </c>
      <c r="G21" s="1">
        <v>7</v>
      </c>
      <c r="H21">
        <v>0</v>
      </c>
    </row>
    <row r="22" spans="1:13" ht="15.75" customHeight="1">
      <c r="A22">
        <v>21</v>
      </c>
      <c r="B22" t="s">
        <v>130</v>
      </c>
      <c r="C22" s="39">
        <v>15</v>
      </c>
      <c r="D22" s="1">
        <v>26</v>
      </c>
      <c r="E22" s="1">
        <v>36</v>
      </c>
      <c r="F22" s="1">
        <v>14</v>
      </c>
      <c r="G22" s="1">
        <v>6</v>
      </c>
      <c r="H22">
        <v>0</v>
      </c>
    </row>
    <row r="23" spans="1:13" ht="15.75" customHeight="1">
      <c r="A23">
        <v>22</v>
      </c>
      <c r="B23" t="s">
        <v>131</v>
      </c>
      <c r="C23" s="39">
        <v>14</v>
      </c>
      <c r="D23" s="1">
        <v>27</v>
      </c>
      <c r="E23" s="1">
        <v>34</v>
      </c>
      <c r="F23" s="1">
        <v>15</v>
      </c>
      <c r="G23" s="1">
        <v>7</v>
      </c>
      <c r="H23">
        <v>0</v>
      </c>
    </row>
    <row r="24" spans="1:13" ht="15.75" customHeight="1">
      <c r="A24">
        <v>23</v>
      </c>
      <c r="B24" t="s">
        <v>132</v>
      </c>
      <c r="C24" s="39">
        <v>19</v>
      </c>
      <c r="D24" s="1">
        <v>24</v>
      </c>
      <c r="E24" s="1">
        <v>29</v>
      </c>
      <c r="F24" s="1">
        <v>11</v>
      </c>
      <c r="G24" s="1">
        <v>14</v>
      </c>
      <c r="H24">
        <v>0</v>
      </c>
    </row>
    <row r="25" spans="1:13" ht="15.75" customHeight="1">
      <c r="A25">
        <v>24</v>
      </c>
      <c r="B25" t="s">
        <v>133</v>
      </c>
      <c r="C25" s="39">
        <v>31</v>
      </c>
      <c r="D25" s="1">
        <v>17</v>
      </c>
      <c r="E25" s="1">
        <v>21</v>
      </c>
      <c r="F25" s="1">
        <v>14</v>
      </c>
      <c r="G25" s="1">
        <v>14</v>
      </c>
      <c r="H25">
        <v>0</v>
      </c>
    </row>
    <row r="26" spans="1:13" ht="15.75" customHeight="1">
      <c r="A26">
        <v>25</v>
      </c>
      <c r="B26" t="s">
        <v>134</v>
      </c>
      <c r="C26" s="39">
        <v>16</v>
      </c>
      <c r="D26" s="1">
        <v>21</v>
      </c>
      <c r="E26" s="1">
        <v>26</v>
      </c>
      <c r="F26" s="1">
        <v>18</v>
      </c>
      <c r="G26" s="1">
        <v>17</v>
      </c>
      <c r="H26">
        <v>0</v>
      </c>
    </row>
    <row r="27" spans="1:13" ht="15.75" customHeight="1">
      <c r="A27">
        <v>26</v>
      </c>
      <c r="B27" t="s">
        <v>135</v>
      </c>
      <c r="C27" s="39">
        <v>15</v>
      </c>
      <c r="D27" s="1">
        <v>27</v>
      </c>
      <c r="E27" s="1">
        <v>36</v>
      </c>
      <c r="F27" s="1">
        <v>11</v>
      </c>
      <c r="G27" s="1">
        <v>10</v>
      </c>
      <c r="H27">
        <v>0</v>
      </c>
    </row>
    <row r="28" spans="1:13" ht="15.75" customHeight="1">
      <c r="A28">
        <v>27</v>
      </c>
      <c r="B28" t="s">
        <v>136</v>
      </c>
      <c r="C28" s="39">
        <v>15</v>
      </c>
      <c r="D28" s="1">
        <v>37</v>
      </c>
      <c r="E28" s="1">
        <v>23</v>
      </c>
      <c r="F28" s="1">
        <v>11</v>
      </c>
      <c r="G28" s="1">
        <v>12</v>
      </c>
      <c r="H28">
        <v>0</v>
      </c>
      <c r="J28" s="1"/>
      <c r="K28" s="1"/>
      <c r="L28" s="1"/>
      <c r="M28" s="1"/>
    </row>
    <row r="29" spans="1:13" ht="15.75" customHeight="1">
      <c r="A29">
        <v>28</v>
      </c>
      <c r="B29" t="s">
        <v>137</v>
      </c>
      <c r="C29" s="39">
        <v>22</v>
      </c>
      <c r="D29" s="1">
        <v>27</v>
      </c>
      <c r="E29" s="1">
        <v>24</v>
      </c>
      <c r="F29" s="1">
        <v>10</v>
      </c>
      <c r="G29" s="1">
        <v>13</v>
      </c>
      <c r="H29">
        <v>0</v>
      </c>
      <c r="J29" s="1"/>
      <c r="K29" s="1"/>
      <c r="L29" s="1"/>
      <c r="M29" s="1"/>
    </row>
    <row r="30" spans="1:13" ht="15.75" customHeight="1">
      <c r="A30">
        <v>29</v>
      </c>
      <c r="B30" t="s">
        <v>138</v>
      </c>
      <c r="C30" s="39">
        <v>17</v>
      </c>
      <c r="D30" s="1">
        <v>24</v>
      </c>
      <c r="E30" s="1">
        <v>31</v>
      </c>
      <c r="F30" s="1">
        <v>15</v>
      </c>
      <c r="G30" s="1">
        <v>10</v>
      </c>
      <c r="H30">
        <v>0</v>
      </c>
      <c r="I30" s="1"/>
    </row>
    <row r="31" spans="1:13" ht="15.75" customHeight="1">
      <c r="A31">
        <v>30</v>
      </c>
      <c r="B31" t="s">
        <v>139</v>
      </c>
      <c r="C31" s="39">
        <v>14</v>
      </c>
      <c r="D31" s="1">
        <v>16</v>
      </c>
      <c r="E31" s="1">
        <v>27</v>
      </c>
      <c r="F31" s="1">
        <v>15</v>
      </c>
      <c r="G31" s="1">
        <v>24</v>
      </c>
      <c r="H31">
        <v>0</v>
      </c>
      <c r="I31" s="1"/>
    </row>
    <row r="32" spans="1:13" ht="15.75" customHeight="1">
      <c r="A32">
        <v>31</v>
      </c>
      <c r="B32" t="s">
        <v>140</v>
      </c>
      <c r="C32" s="39">
        <v>16</v>
      </c>
      <c r="D32" s="1">
        <v>15</v>
      </c>
      <c r="E32" s="1">
        <v>20</v>
      </c>
      <c r="F32" s="1">
        <v>12</v>
      </c>
      <c r="G32" s="1">
        <v>34</v>
      </c>
      <c r="H32">
        <v>0</v>
      </c>
      <c r="I32" s="1"/>
    </row>
    <row r="33" spans="1:8" ht="15.75" customHeight="1">
      <c r="A33">
        <v>32</v>
      </c>
      <c r="B33" t="s">
        <v>141</v>
      </c>
      <c r="C33" s="40">
        <v>22</v>
      </c>
      <c r="D33" s="40">
        <v>21</v>
      </c>
      <c r="E33" s="40">
        <v>19</v>
      </c>
      <c r="F33" s="40">
        <v>14</v>
      </c>
      <c r="G33" s="40">
        <v>22</v>
      </c>
      <c r="H33">
        <v>0</v>
      </c>
    </row>
    <row r="34" spans="1:8" ht="15.75" customHeight="1">
      <c r="A34">
        <v>33</v>
      </c>
      <c r="B34" t="s">
        <v>142</v>
      </c>
      <c r="C34" s="40">
        <v>22</v>
      </c>
      <c r="D34" s="40">
        <v>19</v>
      </c>
      <c r="E34" s="40">
        <v>20</v>
      </c>
      <c r="F34" s="40">
        <v>19</v>
      </c>
      <c r="G34" s="40">
        <v>18</v>
      </c>
      <c r="H34">
        <v>0</v>
      </c>
    </row>
    <row r="35" spans="1:8" ht="15.75" customHeight="1">
      <c r="A35">
        <v>34</v>
      </c>
      <c r="B35" t="s">
        <v>143</v>
      </c>
      <c r="C35" s="40">
        <v>18</v>
      </c>
      <c r="D35" s="40">
        <v>21</v>
      </c>
      <c r="E35" s="40">
        <v>33</v>
      </c>
      <c r="F35" s="40">
        <v>15</v>
      </c>
      <c r="G35" s="40">
        <v>10</v>
      </c>
      <c r="H35">
        <v>0</v>
      </c>
    </row>
    <row r="36" spans="1:8" ht="15.75" customHeight="1">
      <c r="A36">
        <v>35</v>
      </c>
      <c r="B36" t="s">
        <v>144</v>
      </c>
      <c r="C36" s="40">
        <v>15</v>
      </c>
      <c r="D36" s="40">
        <v>26</v>
      </c>
      <c r="E36" s="40">
        <v>36</v>
      </c>
      <c r="F36" s="40">
        <v>14</v>
      </c>
      <c r="G36" s="40">
        <v>6</v>
      </c>
      <c r="H36">
        <v>0</v>
      </c>
    </row>
    <row r="37" spans="1:8" ht="15.75" customHeight="1">
      <c r="A37">
        <v>36</v>
      </c>
      <c r="B37" t="s">
        <v>145</v>
      </c>
      <c r="C37" s="40">
        <v>19</v>
      </c>
      <c r="D37" s="40">
        <v>24</v>
      </c>
      <c r="E37" s="40">
        <v>29</v>
      </c>
      <c r="F37" s="40">
        <v>11</v>
      </c>
      <c r="G37" s="40">
        <v>14</v>
      </c>
      <c r="H37">
        <v>0</v>
      </c>
    </row>
    <row r="38" spans="1:8" ht="15.75" customHeight="1">
      <c r="A38">
        <v>37</v>
      </c>
      <c r="B38" t="s">
        <v>146</v>
      </c>
      <c r="C38" s="40">
        <v>16</v>
      </c>
      <c r="D38" s="40">
        <v>21</v>
      </c>
      <c r="E38" s="40">
        <v>26</v>
      </c>
      <c r="F38" s="40">
        <v>18</v>
      </c>
      <c r="G38" s="40">
        <v>17</v>
      </c>
      <c r="H38">
        <v>0</v>
      </c>
    </row>
    <row r="39" spans="1:8" ht="15.75" customHeight="1">
      <c r="A39">
        <v>38</v>
      </c>
      <c r="B39" t="s">
        <v>147</v>
      </c>
      <c r="C39" s="40">
        <v>15</v>
      </c>
      <c r="D39" s="40">
        <v>27</v>
      </c>
      <c r="E39" s="40">
        <v>36</v>
      </c>
      <c r="F39" s="40">
        <v>11</v>
      </c>
      <c r="G39" s="40">
        <v>10</v>
      </c>
      <c r="H39">
        <v>0</v>
      </c>
    </row>
    <row r="40" spans="1:8" ht="15.75" customHeight="1">
      <c r="A40">
        <v>39</v>
      </c>
      <c r="B40" t="s">
        <v>185</v>
      </c>
      <c r="C40" s="41">
        <v>13</v>
      </c>
      <c r="D40" s="1">
        <v>28</v>
      </c>
      <c r="E40" s="1">
        <v>35</v>
      </c>
      <c r="F40" s="1">
        <v>11</v>
      </c>
      <c r="G40" s="1">
        <v>10</v>
      </c>
      <c r="H40">
        <v>0</v>
      </c>
    </row>
    <row r="41" spans="1:8" ht="15.75" customHeight="1">
      <c r="A41">
        <v>40</v>
      </c>
      <c r="B41" t="s">
        <v>149</v>
      </c>
      <c r="C41" s="3">
        <v>11</v>
      </c>
      <c r="D41" s="1">
        <v>22</v>
      </c>
      <c r="E41" s="1">
        <v>41</v>
      </c>
      <c r="F41" s="1">
        <v>15</v>
      </c>
      <c r="G41" s="1">
        <v>9</v>
      </c>
      <c r="H41">
        <v>0</v>
      </c>
    </row>
    <row r="42" spans="1:8" ht="15.75" customHeight="1">
      <c r="A42">
        <v>41</v>
      </c>
      <c r="B42" t="s">
        <v>186</v>
      </c>
      <c r="C42" s="3">
        <v>16</v>
      </c>
      <c r="D42" s="1">
        <v>17</v>
      </c>
      <c r="E42" s="1">
        <v>47</v>
      </c>
      <c r="F42" s="1">
        <v>8</v>
      </c>
      <c r="G42" s="1">
        <v>9</v>
      </c>
      <c r="H42">
        <v>0</v>
      </c>
    </row>
    <row r="43" spans="1:8" ht="15.75" customHeight="1">
      <c r="A43">
        <v>42</v>
      </c>
      <c r="B43" t="s">
        <v>187</v>
      </c>
      <c r="C43" s="3">
        <v>17</v>
      </c>
      <c r="D43" s="1">
        <v>38</v>
      </c>
      <c r="E43" s="1">
        <v>11</v>
      </c>
      <c r="F43" s="1">
        <v>18</v>
      </c>
      <c r="G43" s="1">
        <v>14</v>
      </c>
      <c r="H43">
        <v>0</v>
      </c>
    </row>
    <row r="44" spans="1:8" ht="15.75" customHeight="1">
      <c r="A44">
        <v>43</v>
      </c>
      <c r="B44" t="s">
        <v>188</v>
      </c>
      <c r="C44" s="3">
        <v>19</v>
      </c>
      <c r="D44" s="1">
        <v>25</v>
      </c>
      <c r="E44" s="1">
        <v>30</v>
      </c>
      <c r="F44" s="1">
        <v>12</v>
      </c>
      <c r="G44" s="1">
        <v>11</v>
      </c>
      <c r="H44">
        <v>0</v>
      </c>
    </row>
    <row r="45" spans="1:8" ht="15.75" customHeight="1">
      <c r="A45">
        <v>44</v>
      </c>
      <c r="B45" t="s">
        <v>189</v>
      </c>
      <c r="C45" s="3">
        <v>15</v>
      </c>
      <c r="D45" s="1">
        <v>21</v>
      </c>
      <c r="E45" s="1">
        <v>34</v>
      </c>
      <c r="F45" s="1">
        <v>13</v>
      </c>
      <c r="G45" s="1">
        <v>15</v>
      </c>
      <c r="H45">
        <v>0</v>
      </c>
    </row>
    <row r="46" spans="1:8" ht="15.75" customHeight="1">
      <c r="A46">
        <v>45</v>
      </c>
      <c r="B46" t="s">
        <v>190</v>
      </c>
      <c r="C46" s="3">
        <v>19</v>
      </c>
      <c r="D46" s="1">
        <v>23</v>
      </c>
      <c r="E46" s="1">
        <v>17</v>
      </c>
      <c r="F46" s="1">
        <v>15</v>
      </c>
      <c r="G46" s="1">
        <v>23</v>
      </c>
      <c r="H46">
        <v>0</v>
      </c>
    </row>
    <row r="47" spans="1:8" ht="15.75" customHeight="1">
      <c r="A47">
        <v>46</v>
      </c>
      <c r="B47" t="s">
        <v>191</v>
      </c>
      <c r="C47" s="3">
        <v>13</v>
      </c>
      <c r="D47" s="1">
        <v>24</v>
      </c>
      <c r="E47" s="1">
        <v>37</v>
      </c>
      <c r="F47" s="1">
        <v>15</v>
      </c>
      <c r="G47" s="1">
        <v>8</v>
      </c>
      <c r="H47">
        <v>0</v>
      </c>
    </row>
    <row r="48" spans="1:8" ht="15.75" customHeight="1">
      <c r="A48">
        <v>47</v>
      </c>
      <c r="B48" t="s">
        <v>192</v>
      </c>
      <c r="C48" s="3">
        <v>16</v>
      </c>
      <c r="D48" s="1">
        <v>24</v>
      </c>
      <c r="E48" s="1">
        <v>37</v>
      </c>
      <c r="F48" s="1">
        <v>12</v>
      </c>
      <c r="G48" s="1">
        <v>8</v>
      </c>
      <c r="H48">
        <v>0</v>
      </c>
    </row>
    <row r="49" spans="1:8" ht="15.75" customHeight="1">
      <c r="A49">
        <v>48</v>
      </c>
      <c r="B49" t="s">
        <v>157</v>
      </c>
      <c r="C49" s="3">
        <v>18</v>
      </c>
      <c r="D49" s="1">
        <v>24</v>
      </c>
      <c r="E49" s="1">
        <v>30</v>
      </c>
      <c r="F49" s="1">
        <v>17</v>
      </c>
      <c r="G49" s="1">
        <v>8</v>
      </c>
      <c r="H49">
        <v>0</v>
      </c>
    </row>
    <row r="50" spans="1:8" ht="15.75" customHeight="1">
      <c r="A50">
        <v>49</v>
      </c>
      <c r="B50" t="s">
        <v>158</v>
      </c>
      <c r="C50" s="3">
        <v>20</v>
      </c>
      <c r="D50" s="1">
        <v>19</v>
      </c>
      <c r="E50" s="1">
        <v>32</v>
      </c>
      <c r="F50" s="1">
        <v>16</v>
      </c>
      <c r="G50" s="1">
        <v>12</v>
      </c>
      <c r="H50">
        <v>0</v>
      </c>
    </row>
    <row r="51" spans="1:8" ht="15.75" customHeight="1">
      <c r="A51">
        <v>50</v>
      </c>
      <c r="B51" t="s">
        <v>159</v>
      </c>
      <c r="C51" s="3">
        <v>13</v>
      </c>
      <c r="D51" s="1">
        <v>24</v>
      </c>
      <c r="E51" s="1">
        <v>33</v>
      </c>
      <c r="F51" s="1">
        <v>14</v>
      </c>
      <c r="G51" s="1">
        <v>13</v>
      </c>
      <c r="H51">
        <v>0</v>
      </c>
    </row>
    <row r="52" spans="1:8" ht="15.75" customHeight="1">
      <c r="A52">
        <v>51</v>
      </c>
      <c r="B52" t="s">
        <v>160</v>
      </c>
      <c r="C52" s="3">
        <v>15</v>
      </c>
      <c r="D52" s="1">
        <v>20</v>
      </c>
      <c r="E52" s="1">
        <v>39</v>
      </c>
      <c r="F52" s="1">
        <v>13</v>
      </c>
      <c r="G52" s="1">
        <v>11</v>
      </c>
      <c r="H52">
        <v>0</v>
      </c>
    </row>
    <row r="53" spans="1:8" ht="15.75" customHeight="1">
      <c r="A53">
        <v>52</v>
      </c>
      <c r="B53" t="s">
        <v>161</v>
      </c>
      <c r="C53" s="3">
        <v>19</v>
      </c>
      <c r="D53" s="1">
        <v>24</v>
      </c>
      <c r="E53" s="1">
        <v>34</v>
      </c>
      <c r="F53" s="1">
        <v>7</v>
      </c>
      <c r="G53" s="1">
        <v>13</v>
      </c>
      <c r="H53">
        <v>0</v>
      </c>
    </row>
    <row r="54" spans="1:8" ht="15.75" customHeight="1">
      <c r="A54">
        <v>53</v>
      </c>
      <c r="B54" t="s">
        <v>162</v>
      </c>
      <c r="C54" s="3">
        <v>19</v>
      </c>
      <c r="D54" s="1">
        <v>21</v>
      </c>
      <c r="E54" s="1">
        <v>30</v>
      </c>
      <c r="F54" s="1">
        <v>16</v>
      </c>
      <c r="G54" s="1">
        <v>12</v>
      </c>
      <c r="H54">
        <v>0</v>
      </c>
    </row>
    <row r="55" spans="1:8" ht="15.75" customHeight="1">
      <c r="A55">
        <v>54</v>
      </c>
      <c r="B55" t="s">
        <v>163</v>
      </c>
      <c r="C55" s="3">
        <v>25</v>
      </c>
      <c r="D55" s="1">
        <v>19</v>
      </c>
      <c r="E55" s="1">
        <v>35</v>
      </c>
      <c r="F55" s="1">
        <v>11</v>
      </c>
      <c r="G55" s="1">
        <v>7</v>
      </c>
      <c r="H55">
        <v>0</v>
      </c>
    </row>
    <row r="56" spans="1:8" ht="15.75" customHeight="1">
      <c r="A56">
        <v>55</v>
      </c>
      <c r="B56" t="s">
        <v>164</v>
      </c>
      <c r="C56" s="3">
        <v>19</v>
      </c>
      <c r="D56" s="1">
        <v>23</v>
      </c>
      <c r="E56" s="1">
        <v>39</v>
      </c>
      <c r="F56" s="1">
        <v>10</v>
      </c>
      <c r="G56" s="1">
        <v>7</v>
      </c>
      <c r="H56">
        <v>0</v>
      </c>
    </row>
    <row r="57" spans="1:8" ht="15.75" customHeight="1">
      <c r="A57">
        <v>56</v>
      </c>
      <c r="B57" t="s">
        <v>165</v>
      </c>
      <c r="C57" s="3">
        <v>14</v>
      </c>
      <c r="D57" s="1">
        <v>27</v>
      </c>
      <c r="E57" s="1">
        <v>34</v>
      </c>
      <c r="F57" s="1">
        <v>15</v>
      </c>
      <c r="G57" s="1">
        <v>7</v>
      </c>
      <c r="H57">
        <v>0</v>
      </c>
    </row>
    <row r="58" spans="1:8" ht="15.75" customHeight="1">
      <c r="A58">
        <v>57</v>
      </c>
      <c r="B58" t="s">
        <v>166</v>
      </c>
      <c r="C58" s="3">
        <v>31</v>
      </c>
      <c r="D58" s="1">
        <v>17</v>
      </c>
      <c r="E58" s="1">
        <v>21</v>
      </c>
      <c r="F58" s="1">
        <v>14</v>
      </c>
      <c r="G58" s="1">
        <v>14</v>
      </c>
      <c r="H58">
        <v>0</v>
      </c>
    </row>
    <row r="59" spans="1:8" ht="15.75" customHeight="1">
      <c r="A59">
        <v>58</v>
      </c>
      <c r="B59" t="s">
        <v>167</v>
      </c>
      <c r="C59" s="40">
        <v>15</v>
      </c>
      <c r="D59" s="40">
        <v>37</v>
      </c>
      <c r="E59" s="40">
        <v>23</v>
      </c>
      <c r="F59" s="40">
        <v>11</v>
      </c>
      <c r="G59" s="40">
        <v>12</v>
      </c>
      <c r="H59">
        <v>0</v>
      </c>
    </row>
    <row r="60" spans="1:8" ht="15.75" customHeight="1">
      <c r="A60">
        <v>59</v>
      </c>
      <c r="B60" t="s">
        <v>168</v>
      </c>
      <c r="C60" s="40">
        <v>22</v>
      </c>
      <c r="D60" s="40">
        <v>27</v>
      </c>
      <c r="E60" s="40">
        <v>24</v>
      </c>
      <c r="F60" s="40">
        <v>10</v>
      </c>
      <c r="G60" s="40">
        <v>13</v>
      </c>
      <c r="H60">
        <v>0</v>
      </c>
    </row>
    <row r="61" spans="1:8" ht="15.75" customHeight="1">
      <c r="A61">
        <v>60</v>
      </c>
      <c r="B61" t="s">
        <v>169</v>
      </c>
      <c r="C61" s="40">
        <v>17</v>
      </c>
      <c r="D61" s="40">
        <v>24</v>
      </c>
      <c r="E61" s="40">
        <v>31</v>
      </c>
      <c r="F61" s="40">
        <v>15</v>
      </c>
      <c r="G61" s="40">
        <v>10</v>
      </c>
      <c r="H61">
        <v>0</v>
      </c>
    </row>
    <row r="62" spans="1:8" ht="15.75" customHeight="1">
      <c r="A62">
        <v>61</v>
      </c>
      <c r="B62" t="s">
        <v>170</v>
      </c>
      <c r="C62" s="40">
        <v>14</v>
      </c>
      <c r="D62" s="40">
        <v>16</v>
      </c>
      <c r="E62" s="40">
        <v>27</v>
      </c>
      <c r="F62" s="40">
        <v>15</v>
      </c>
      <c r="G62" s="40">
        <v>24</v>
      </c>
      <c r="H62">
        <v>0</v>
      </c>
    </row>
    <row r="63" spans="1:8" ht="15.75" customHeight="1">
      <c r="A63">
        <v>62</v>
      </c>
      <c r="B63" t="s">
        <v>171</v>
      </c>
      <c r="C63" s="40">
        <v>16</v>
      </c>
      <c r="D63" s="40">
        <v>15</v>
      </c>
      <c r="E63" s="40">
        <v>20</v>
      </c>
      <c r="F63" s="40">
        <v>12</v>
      </c>
      <c r="G63" s="40">
        <v>34</v>
      </c>
      <c r="H63">
        <v>0</v>
      </c>
    </row>
    <row r="64" spans="1:8" ht="15.75" customHeight="1">
      <c r="A64">
        <v>63</v>
      </c>
      <c r="B64" t="s">
        <v>172</v>
      </c>
      <c r="C64" s="40">
        <v>18</v>
      </c>
      <c r="D64" s="40">
        <v>18</v>
      </c>
      <c r="E64" s="40">
        <v>18</v>
      </c>
      <c r="F64" s="40">
        <v>19</v>
      </c>
      <c r="G64" s="40">
        <v>23</v>
      </c>
      <c r="H64">
        <v>0</v>
      </c>
    </row>
    <row r="65" spans="1:8" ht="15.75" customHeight="1">
      <c r="A65">
        <v>64</v>
      </c>
      <c r="B65" t="s">
        <v>193</v>
      </c>
      <c r="C65" s="40">
        <v>22</v>
      </c>
      <c r="D65" s="40">
        <v>20</v>
      </c>
      <c r="E65" s="40">
        <v>20</v>
      </c>
      <c r="F65" s="40">
        <v>16</v>
      </c>
      <c r="G65" s="40">
        <v>20</v>
      </c>
      <c r="H65">
        <v>0</v>
      </c>
    </row>
    <row r="66" spans="1:8" ht="15.75" customHeight="1">
      <c r="A66">
        <v>65</v>
      </c>
      <c r="B66" t="s">
        <v>194</v>
      </c>
      <c r="C66" s="40">
        <v>20</v>
      </c>
      <c r="D66" s="40">
        <v>19</v>
      </c>
      <c r="E66" s="40">
        <v>26</v>
      </c>
      <c r="F66" s="40">
        <v>12</v>
      </c>
      <c r="G66" s="40">
        <v>21</v>
      </c>
      <c r="H66">
        <v>0</v>
      </c>
    </row>
    <row r="67" spans="1:8" ht="15.75" customHeight="1">
      <c r="A67">
        <v>66</v>
      </c>
      <c r="B67" t="s">
        <v>195</v>
      </c>
      <c r="C67" s="40">
        <v>26</v>
      </c>
      <c r="D67" s="40">
        <v>21</v>
      </c>
      <c r="E67" s="40">
        <v>15</v>
      </c>
      <c r="F67" s="40">
        <v>19</v>
      </c>
      <c r="G67" s="40">
        <v>17</v>
      </c>
      <c r="H67">
        <v>0</v>
      </c>
    </row>
    <row r="68" spans="1:8" ht="15.75" customHeight="1">
      <c r="A68">
        <v>67</v>
      </c>
      <c r="B68" t="s">
        <v>196</v>
      </c>
      <c r="C68" s="40">
        <v>17</v>
      </c>
      <c r="D68" s="40">
        <v>26</v>
      </c>
      <c r="E68" s="40">
        <v>22</v>
      </c>
      <c r="F68" s="40">
        <v>17</v>
      </c>
      <c r="G68" s="40">
        <v>16</v>
      </c>
      <c r="H68">
        <v>0</v>
      </c>
    </row>
    <row r="69" spans="1:8" ht="15.75" customHeight="1">
      <c r="A69">
        <v>68</v>
      </c>
      <c r="B69" t="s">
        <v>197</v>
      </c>
      <c r="C69" s="40">
        <v>17</v>
      </c>
      <c r="D69" s="40">
        <v>23</v>
      </c>
      <c r="E69" s="40">
        <v>22</v>
      </c>
      <c r="F69" s="40">
        <v>19</v>
      </c>
      <c r="G69" s="40">
        <v>16</v>
      </c>
      <c r="H69">
        <v>0</v>
      </c>
    </row>
    <row r="70" spans="1:8" ht="15.75" customHeight="1">
      <c r="A70">
        <v>69</v>
      </c>
      <c r="B70" t="s">
        <v>198</v>
      </c>
      <c r="C70" s="40">
        <v>25</v>
      </c>
      <c r="D70" s="40">
        <v>28</v>
      </c>
      <c r="E70" s="40">
        <v>21</v>
      </c>
      <c r="F70" s="40">
        <v>12</v>
      </c>
      <c r="G70" s="40">
        <v>11</v>
      </c>
      <c r="H70">
        <v>0</v>
      </c>
    </row>
    <row r="71" spans="1:8" ht="15.75" customHeight="1">
      <c r="A71">
        <v>70</v>
      </c>
      <c r="B71" t="s">
        <v>199</v>
      </c>
      <c r="C71" s="40">
        <v>17</v>
      </c>
      <c r="D71" s="40">
        <v>31</v>
      </c>
      <c r="E71" s="40">
        <v>22</v>
      </c>
      <c r="F71" s="40">
        <v>15</v>
      </c>
      <c r="G71" s="40">
        <v>14</v>
      </c>
      <c r="H71">
        <v>0</v>
      </c>
    </row>
    <row r="72" spans="1:8" ht="15.75" customHeight="1">
      <c r="A72">
        <v>71</v>
      </c>
      <c r="B72" t="s">
        <v>200</v>
      </c>
      <c r="C72" s="40">
        <v>9</v>
      </c>
      <c r="D72" s="40">
        <v>20</v>
      </c>
      <c r="E72" s="40">
        <v>31</v>
      </c>
      <c r="F72" s="40">
        <v>14</v>
      </c>
      <c r="G72" s="40">
        <v>23</v>
      </c>
      <c r="H72">
        <v>0</v>
      </c>
    </row>
    <row r="73" spans="1:8" ht="15.75" customHeight="1">
      <c r="A73">
        <v>72</v>
      </c>
      <c r="B73" t="s">
        <v>201</v>
      </c>
      <c r="C73" s="40">
        <v>14</v>
      </c>
      <c r="D73" s="40">
        <v>28</v>
      </c>
      <c r="E73" s="40">
        <v>27</v>
      </c>
      <c r="F73" s="40">
        <v>11</v>
      </c>
      <c r="G73" s="40">
        <v>18</v>
      </c>
      <c r="H73">
        <v>0</v>
      </c>
    </row>
    <row r="74" spans="1:8" ht="15.75" customHeight="1">
      <c r="A74">
        <v>73</v>
      </c>
      <c r="B74" t="s">
        <v>202</v>
      </c>
      <c r="C74" s="40">
        <v>24</v>
      </c>
      <c r="D74" s="40">
        <v>22</v>
      </c>
      <c r="E74" s="40">
        <v>29</v>
      </c>
      <c r="F74" s="40">
        <v>13</v>
      </c>
      <c r="G74" s="40">
        <v>9</v>
      </c>
      <c r="H74">
        <v>1</v>
      </c>
    </row>
    <row r="75" spans="1:8" ht="15.75" customHeight="1">
      <c r="A75">
        <v>74</v>
      </c>
      <c r="B75" t="s">
        <v>203</v>
      </c>
      <c r="C75" s="40">
        <v>19</v>
      </c>
      <c r="D75" s="40">
        <v>23</v>
      </c>
      <c r="E75" s="40">
        <v>33</v>
      </c>
      <c r="F75" s="40">
        <v>11</v>
      </c>
      <c r="G75" s="40">
        <v>12</v>
      </c>
      <c r="H75">
        <v>1</v>
      </c>
    </row>
    <row r="76" spans="1:8" ht="15.75" customHeight="1">
      <c r="A76">
        <v>75</v>
      </c>
      <c r="B76" t="s">
        <v>204</v>
      </c>
      <c r="C76" s="40">
        <v>19</v>
      </c>
      <c r="D76" s="40">
        <v>21</v>
      </c>
      <c r="E76" s="40">
        <v>37</v>
      </c>
      <c r="F76" s="40">
        <v>15</v>
      </c>
      <c r="G76" s="40">
        <v>7</v>
      </c>
      <c r="H76">
        <v>1</v>
      </c>
    </row>
    <row r="77" spans="1:8" ht="15.75" customHeight="1">
      <c r="A77">
        <v>76</v>
      </c>
      <c r="B77" t="s">
        <v>205</v>
      </c>
      <c r="C77" s="40">
        <v>15</v>
      </c>
      <c r="D77" s="40">
        <v>13</v>
      </c>
      <c r="E77" s="40">
        <v>40</v>
      </c>
      <c r="F77" s="40">
        <v>17</v>
      </c>
      <c r="G77" s="40">
        <v>12</v>
      </c>
      <c r="H77">
        <v>1</v>
      </c>
    </row>
    <row r="78" spans="1:8" ht="15.75" customHeight="1">
      <c r="A78">
        <v>77</v>
      </c>
      <c r="B78" t="s">
        <v>206</v>
      </c>
      <c r="C78" s="40">
        <v>18</v>
      </c>
      <c r="D78" s="40">
        <v>10</v>
      </c>
      <c r="E78" s="40">
        <v>37</v>
      </c>
      <c r="F78" s="40">
        <v>20</v>
      </c>
      <c r="G78" s="40">
        <v>12</v>
      </c>
      <c r="H78">
        <v>1</v>
      </c>
    </row>
    <row r="79" spans="1:8" ht="15.75" customHeight="1">
      <c r="A79">
        <v>78</v>
      </c>
      <c r="B79" t="s">
        <v>207</v>
      </c>
      <c r="C79" s="40">
        <v>12</v>
      </c>
      <c r="D79" s="40">
        <v>17</v>
      </c>
      <c r="E79" s="40">
        <v>46</v>
      </c>
      <c r="F79" s="40">
        <v>11</v>
      </c>
      <c r="G79" s="40">
        <v>11</v>
      </c>
      <c r="H79">
        <v>1</v>
      </c>
    </row>
    <row r="80" spans="1:8" ht="15.75" customHeight="1">
      <c r="A80">
        <v>79</v>
      </c>
      <c r="B80" t="s">
        <v>208</v>
      </c>
      <c r="C80" s="40">
        <v>14</v>
      </c>
      <c r="D80" s="40">
        <v>23</v>
      </c>
      <c r="E80" s="40">
        <v>31</v>
      </c>
      <c r="F80" s="40">
        <v>18</v>
      </c>
      <c r="G80" s="40">
        <v>11</v>
      </c>
      <c r="H80">
        <v>1</v>
      </c>
    </row>
    <row r="81" spans="1:8" ht="15.75" customHeight="1">
      <c r="A81">
        <v>80</v>
      </c>
      <c r="B81" t="s">
        <v>209</v>
      </c>
      <c r="C81" s="40">
        <v>16</v>
      </c>
      <c r="D81" s="40">
        <v>25</v>
      </c>
      <c r="E81" s="40">
        <v>31</v>
      </c>
      <c r="F81" s="40">
        <v>18</v>
      </c>
      <c r="G81" s="40">
        <v>8</v>
      </c>
      <c r="H81">
        <v>1</v>
      </c>
    </row>
    <row r="82" spans="1:8" ht="15.75" customHeight="1">
      <c r="A82">
        <v>81</v>
      </c>
      <c r="B82" t="s">
        <v>210</v>
      </c>
      <c r="C82" s="40">
        <v>18</v>
      </c>
      <c r="D82" s="40">
        <v>15</v>
      </c>
      <c r="E82" s="40">
        <v>32</v>
      </c>
      <c r="F82" s="40">
        <v>16</v>
      </c>
      <c r="G82" s="40">
        <v>16</v>
      </c>
      <c r="H82">
        <v>1</v>
      </c>
    </row>
    <row r="83" spans="1:8" ht="15.75" customHeight="1">
      <c r="A83">
        <v>82</v>
      </c>
      <c r="B83" t="s">
        <v>211</v>
      </c>
      <c r="C83" s="40">
        <v>11</v>
      </c>
      <c r="D83" s="40">
        <v>33</v>
      </c>
      <c r="E83" s="40">
        <v>28</v>
      </c>
      <c r="F83" s="40">
        <v>13</v>
      </c>
      <c r="G83" s="40">
        <v>12</v>
      </c>
      <c r="H83">
        <v>1</v>
      </c>
    </row>
    <row r="84" spans="1:8" ht="15.75" customHeight="1">
      <c r="A84">
        <v>83</v>
      </c>
      <c r="B84" t="s">
        <v>212</v>
      </c>
      <c r="C84" s="40">
        <v>17</v>
      </c>
      <c r="D84" s="40">
        <v>24</v>
      </c>
      <c r="E84" s="40">
        <v>30</v>
      </c>
      <c r="F84" s="40">
        <v>14</v>
      </c>
      <c r="G84" s="40">
        <v>12</v>
      </c>
      <c r="H84">
        <v>1</v>
      </c>
    </row>
    <row r="85" spans="1:8" ht="15.75" customHeight="1">
      <c r="A85">
        <v>84</v>
      </c>
      <c r="B85" t="s">
        <v>213</v>
      </c>
      <c r="C85" s="40">
        <v>16</v>
      </c>
      <c r="D85" s="40">
        <v>25</v>
      </c>
      <c r="E85" s="40">
        <v>33</v>
      </c>
      <c r="F85" s="40">
        <v>10</v>
      </c>
      <c r="G85" s="40">
        <v>13</v>
      </c>
      <c r="H85">
        <v>1</v>
      </c>
    </row>
    <row r="86" spans="1:8" ht="15.75" customHeight="1">
      <c r="C86" s="39"/>
      <c r="D86" s="1"/>
      <c r="E86" s="1"/>
      <c r="F86" s="1"/>
      <c r="G86" s="1"/>
    </row>
    <row r="87" spans="1:8" ht="15.75" customHeight="1">
      <c r="C87" s="39"/>
      <c r="D87" s="1"/>
      <c r="E87" s="1"/>
      <c r="F87" s="1"/>
      <c r="G87" s="1"/>
    </row>
    <row r="88" spans="1:8" ht="15.75" customHeight="1">
      <c r="C88" s="39"/>
      <c r="D88" s="1"/>
      <c r="E88" s="1"/>
      <c r="F88" s="1"/>
      <c r="G88" s="1"/>
    </row>
    <row r="89" spans="1:8" ht="15.75" customHeight="1"/>
    <row r="90" spans="1:8" ht="15.75" customHeight="1"/>
    <row r="91" spans="1:8" ht="15.75" customHeight="1"/>
    <row r="92" spans="1:8" ht="15.75" customHeight="1"/>
    <row r="93" spans="1:8" ht="15.75" customHeight="1"/>
    <row r="94" spans="1:8" ht="15.75" customHeight="1"/>
    <row r="95" spans="1:8" ht="15.75" customHeight="1"/>
    <row r="96" spans="1: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ВСЕ ИМЕНА</vt:lpstr>
      <vt:lpstr>БИОХИМИЯ</vt:lpstr>
      <vt:lpstr>ФРАКЦИИ плазма</vt:lpstr>
      <vt:lpstr>ФРАКЦИИ эритр.</vt:lpstr>
      <vt:lpstr>Лист7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Насыров Артур Вадимович</cp:lastModifiedBy>
  <dcterms:created xsi:type="dcterms:W3CDTF">2022-04-27T06:55:32Z</dcterms:created>
  <dcterms:modified xsi:type="dcterms:W3CDTF">2026-03-26T13:10:42Z</dcterms:modified>
</cp:coreProperties>
</file>