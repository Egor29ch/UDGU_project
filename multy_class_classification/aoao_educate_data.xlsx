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.v.nasirov\Desktop\UDGU_project\multy_class_classification\"/>
    </mc:Choice>
  </mc:AlternateContent>
  <bookViews>
    <workbookView xWindow="0" yWindow="0" windowWidth="28800" windowHeight="12330" tabRatio="500"/>
  </bookViews>
  <sheets>
    <sheet name="ВСЕ ИМЕНА" sheetId="1" r:id="rId1"/>
    <sheet name="БИОХИМИЯ" sheetId="2" r:id="rId2"/>
    <sheet name="ФРАКЦИИ плазма" sheetId="3" r:id="rId3"/>
    <sheet name="ФРАКЦИИ эритр." sheetId="4" r:id="rId4"/>
    <sheet name="Лист7" sheetId="5" r:id="rId5"/>
  </sheets>
  <definedNames>
    <definedName name="_xlnm._FilterDatabase" localSheetId="1" hidden="1">БИОХИМИЯ!$A$1:$K$64</definedName>
    <definedName name="_xlnm._FilterDatabase" localSheetId="0" hidden="1">'ВСЕ ИМЕНА'!$A$1:$Q$63</definedName>
    <definedName name="_xlnm._FilterDatabase" localSheetId="4" hidden="1">Лист7!$B$2:$H$55</definedName>
    <definedName name="_xlnm._FilterDatabase" localSheetId="2" hidden="1">'ФРАКЦИИ плазма'!$A$1:$G$64</definedName>
    <definedName name="_xlnm._FilterDatabase" localSheetId="3" hidden="1">'ФРАКЦИИ эритр.'!$A$1:$G$64</definedName>
  </definedNames>
  <calcPr calcId="162913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53" i="1" l="1"/>
  <c r="I63" i="1"/>
  <c r="I62" i="1"/>
  <c r="I50" i="1"/>
  <c r="I49" i="1"/>
  <c r="I48" i="1"/>
  <c r="I61" i="1"/>
  <c r="I47" i="1"/>
  <c r="I45" i="1"/>
  <c r="I59" i="1"/>
  <c r="I44" i="1"/>
  <c r="I37" i="1"/>
  <c r="I32" i="1"/>
  <c r="I31" i="1"/>
  <c r="I56" i="1"/>
  <c r="I29" i="1"/>
  <c r="I55" i="1"/>
  <c r="I27" i="1"/>
  <c r="I26" i="1"/>
  <c r="I19" i="1"/>
  <c r="I18" i="1"/>
  <c r="I16" i="1"/>
  <c r="I13" i="1"/>
  <c r="I10" i="1"/>
  <c r="I7" i="1"/>
  <c r="I54" i="1"/>
  <c r="I6" i="1"/>
  <c r="I5" i="1"/>
  <c r="I4" i="1"/>
  <c r="I3" i="1"/>
  <c r="I2" i="1"/>
  <c r="H64" i="2" l="1"/>
  <c r="H63" i="2"/>
  <c r="H62" i="2"/>
  <c r="H60" i="2"/>
  <c r="H57" i="2"/>
  <c r="H56" i="2"/>
  <c r="H55" i="2"/>
  <c r="H54" i="2"/>
  <c r="H51" i="2"/>
  <c r="H50" i="2"/>
  <c r="H49" i="2"/>
  <c r="H48" i="2"/>
  <c r="H46" i="2"/>
  <c r="H45" i="2"/>
  <c r="H38" i="2"/>
  <c r="H33" i="2"/>
  <c r="H32" i="2"/>
  <c r="H30" i="2"/>
  <c r="H28" i="2"/>
  <c r="H27" i="2"/>
  <c r="H20" i="2"/>
  <c r="H19" i="2"/>
  <c r="H17" i="2"/>
  <c r="H14" i="2"/>
  <c r="H11" i="2"/>
  <c r="H9" i="2"/>
  <c r="H7" i="2"/>
  <c r="H6" i="2"/>
  <c r="H5" i="2"/>
  <c r="H4" i="2"/>
  <c r="H3" i="2"/>
  <c r="H2" i="2"/>
</calcChain>
</file>

<file path=xl/sharedStrings.xml><?xml version="1.0" encoding="utf-8"?>
<sst xmlns="http://schemas.openxmlformats.org/spreadsheetml/2006/main" count="54" uniqueCount="21">
  <si>
    <t>Пол</t>
  </si>
  <si>
    <t xml:space="preserve">Стадия </t>
  </si>
  <si>
    <t>ФИО</t>
  </si>
  <si>
    <t>Лактат</t>
  </si>
  <si>
    <t>Глюкоза</t>
  </si>
  <si>
    <t>Общий белок</t>
  </si>
  <si>
    <t>Мочевина</t>
  </si>
  <si>
    <t>Холестерин</t>
  </si>
  <si>
    <t>ПОЛ в плазме</t>
  </si>
  <si>
    <t>ПОЛ в мембр. эритроцитов</t>
  </si>
  <si>
    <t xml:space="preserve">Кортизол </t>
  </si>
  <si>
    <t>Зонулин</t>
  </si>
  <si>
    <t>Стадия</t>
  </si>
  <si>
    <t>ЭХ</t>
  </si>
  <si>
    <t>ТГ</t>
  </si>
  <si>
    <t>НеЖК</t>
  </si>
  <si>
    <t>ХЛ</t>
  </si>
  <si>
    <t>ФЛ</t>
  </si>
  <si>
    <t>СХ</t>
  </si>
  <si>
    <t>ЭХС</t>
  </si>
  <si>
    <t>НЭЖК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</si>
</sst>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0.0"/>
    <numFmt numFmtId="165" formatCode="0.0000"/>
    <numFmt numFmtId="166" formatCode="0.000000"/>
    <numFmt numFmtId="167" formatCode="0.000"/>
    <numFmt numFmtId="168" formatCode="0.00000"/>
  </numFmts>
  <fonts count="12" x14ac:knownFonts="1">
    <font>
      <sz val="11"/>
      <color theme="1"/>
      <name val="Calibri"/>
      <charset val="1"/>
    </font>
    <font>
      <b/>
      <sz val="11"/>
      <color theme="1"/>
      <name val="Calibri"/>
      <family val="2"/>
      <charset val="204"/>
    </font>
    <font>
      <b/>
      <sz val="11"/>
      <color theme="1"/>
      <name val="Calibri"/>
      <charset val="1"/>
    </font>
    <font>
      <sz val="11"/>
      <color theme="1"/>
      <name val="Arial"/>
      <charset val="1"/>
    </font>
    <font>
      <sz val="10"/>
      <color theme="1"/>
      <name val="Times New Roman"/>
      <family val="1"/>
      <charset val="1"/>
    </font>
    <font>
      <sz val="10"/>
      <color rgb="FF000000"/>
      <name val="Arial"/>
      <charset val="1"/>
    </font>
    <font>
      <sz val="10"/>
      <color rgb="FFC00000"/>
      <name val="Arial"/>
      <charset val="1"/>
    </font>
    <font>
      <sz val="11"/>
      <color rgb="FFFF0000"/>
      <name val="Calibri"/>
      <family val="2"/>
      <charset val="204"/>
    </font>
    <font>
      <sz val="10"/>
      <color rgb="FFFF0000"/>
      <name val="Arial"/>
      <family val="2"/>
      <charset val="204"/>
    </font>
    <font>
      <sz val="10"/>
      <color theme="1"/>
      <name val="Arial"/>
      <charset val="1"/>
    </font>
    <font>
      <b/>
      <sz val="10"/>
      <color rgb="FFC00000"/>
      <name val="Arial"/>
      <charset val="1"/>
    </font>
    <font>
      <b/>
      <sz val="12"/>
      <color theme="1"/>
      <name val="Calibri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7">
    <xf numFmtId="0" fontId="0" fillId="0" borderId="0" xfId="0"/>
    <xf numFmtId="0" fontId="0" fillId="0" borderId="0" xfId="0" applyAlignment="1" applyProtection="1"/>
    <xf numFmtId="0" fontId="1" fillId="0" borderId="0" xfId="0" applyFont="1" applyAlignment="1" applyProtection="1"/>
    <xf numFmtId="0" fontId="2" fillId="0" borderId="0" xfId="0" applyFont="1" applyAlignment="1" applyProtection="1">
      <alignment horizontal="center"/>
    </xf>
    <xf numFmtId="0" fontId="0" fillId="0" borderId="0" xfId="0" applyFont="1" applyAlignment="1" applyProtection="1"/>
    <xf numFmtId="0" fontId="0" fillId="0" borderId="0" xfId="0" applyFont="1" applyAlignment="1" applyProtection="1">
      <alignment horizontal="center"/>
    </xf>
    <xf numFmtId="0" fontId="0" fillId="0" borderId="0" xfId="0" applyAlignment="1" applyProtection="1">
      <alignment horizontal="center"/>
    </xf>
    <xf numFmtId="0" fontId="3" fillId="0" borderId="0" xfId="0" applyFont="1" applyAlignment="1" applyProtection="1"/>
    <xf numFmtId="2" fontId="0" fillId="0" borderId="0" xfId="0" applyNumberFormat="1" applyFont="1" applyAlignment="1" applyProtection="1">
      <alignment horizontal="center"/>
    </xf>
    <xf numFmtId="0" fontId="0" fillId="0" borderId="0" xfId="0" applyFont="1" applyAlignment="1" applyProtection="1">
      <alignment horizontal="right"/>
    </xf>
    <xf numFmtId="2" fontId="0" fillId="0" borderId="0" xfId="0" applyNumberFormat="1" applyFont="1" applyAlignment="1" applyProtection="1">
      <alignment horizontal="right"/>
    </xf>
    <xf numFmtId="164" fontId="0" fillId="0" borderId="0" xfId="0" applyNumberFormat="1" applyFont="1" applyAlignment="1" applyProtection="1">
      <alignment horizontal="right"/>
    </xf>
    <xf numFmtId="164" fontId="0" fillId="0" borderId="0" xfId="0" applyNumberFormat="1" applyFont="1" applyAlignment="1" applyProtection="1">
      <alignment horizontal="center"/>
    </xf>
    <xf numFmtId="0" fontId="3" fillId="0" borderId="0" xfId="0" applyFont="1" applyAlignment="1" applyProtection="1">
      <alignment horizontal="center"/>
    </xf>
    <xf numFmtId="0" fontId="1" fillId="0" borderId="0" xfId="0" applyFont="1" applyAlignment="1" applyProtection="1">
      <alignment horizontal="left"/>
    </xf>
    <xf numFmtId="0" fontId="4" fillId="0" borderId="0" xfId="0" applyFont="1" applyAlignment="1" applyProtection="1"/>
    <xf numFmtId="0" fontId="5" fillId="0" borderId="0" xfId="0" applyFont="1" applyAlignment="1" applyProtection="1">
      <alignment horizontal="center" vertical="top"/>
    </xf>
    <xf numFmtId="1" fontId="6" fillId="0" borderId="0" xfId="0" applyNumberFormat="1" applyFont="1" applyAlignment="1" applyProtection="1">
      <alignment horizontal="right" vertical="center"/>
    </xf>
    <xf numFmtId="165" fontId="6" fillId="0" borderId="0" xfId="0" applyNumberFormat="1" applyFont="1" applyAlignment="1" applyProtection="1">
      <alignment horizontal="right" vertical="center"/>
    </xf>
    <xf numFmtId="166" fontId="6" fillId="0" borderId="0" xfId="0" applyNumberFormat="1" applyFont="1" applyAlignment="1" applyProtection="1">
      <alignment horizontal="right" vertical="center"/>
    </xf>
    <xf numFmtId="165" fontId="5" fillId="0" borderId="0" xfId="0" applyNumberFormat="1" applyFont="1" applyAlignment="1" applyProtection="1">
      <alignment horizontal="right" vertical="center"/>
    </xf>
    <xf numFmtId="167" fontId="5" fillId="0" borderId="0" xfId="0" applyNumberFormat="1" applyFont="1" applyAlignment="1" applyProtection="1">
      <alignment horizontal="right" vertical="center"/>
    </xf>
    <xf numFmtId="166" fontId="5" fillId="0" borderId="0" xfId="0" applyNumberFormat="1" applyFont="1" applyAlignment="1" applyProtection="1">
      <alignment horizontal="right" vertical="center"/>
    </xf>
    <xf numFmtId="1" fontId="5" fillId="0" borderId="0" xfId="0" applyNumberFormat="1" applyFont="1" applyAlignment="1" applyProtection="1">
      <alignment horizontal="right" vertical="center"/>
    </xf>
    <xf numFmtId="168" fontId="5" fillId="0" borderId="0" xfId="0" applyNumberFormat="1" applyFont="1" applyAlignment="1" applyProtection="1">
      <alignment horizontal="right" vertical="center"/>
    </xf>
    <xf numFmtId="167" fontId="6" fillId="0" borderId="0" xfId="0" applyNumberFormat="1" applyFont="1" applyAlignment="1" applyProtection="1">
      <alignment horizontal="right" vertical="center"/>
    </xf>
    <xf numFmtId="167" fontId="5" fillId="0" borderId="0" xfId="0" applyNumberFormat="1" applyFont="1" applyAlignment="1" applyProtection="1">
      <alignment horizontal="center" vertical="center"/>
    </xf>
    <xf numFmtId="166" fontId="5" fillId="0" borderId="0" xfId="0" applyNumberFormat="1" applyFont="1" applyAlignment="1" applyProtection="1">
      <alignment horizontal="center" vertical="center"/>
    </xf>
    <xf numFmtId="1" fontId="5" fillId="0" borderId="0" xfId="0" applyNumberFormat="1" applyFont="1" applyAlignment="1" applyProtection="1">
      <alignment horizontal="center" vertical="center"/>
    </xf>
    <xf numFmtId="167" fontId="6" fillId="0" borderId="0" xfId="0" applyNumberFormat="1" applyFont="1" applyAlignment="1" applyProtection="1">
      <alignment horizontal="center" vertical="center"/>
    </xf>
    <xf numFmtId="168" fontId="6" fillId="0" borderId="0" xfId="0" applyNumberFormat="1" applyFont="1" applyAlignment="1" applyProtection="1">
      <alignment horizontal="center" vertical="center"/>
    </xf>
    <xf numFmtId="1" fontId="6" fillId="0" borderId="0" xfId="0" applyNumberFormat="1" applyFont="1" applyAlignment="1" applyProtection="1">
      <alignment horizontal="center" vertical="center"/>
    </xf>
    <xf numFmtId="166" fontId="6" fillId="0" borderId="0" xfId="0" applyNumberFormat="1" applyFont="1" applyAlignment="1" applyProtection="1">
      <alignment horizontal="center" vertical="center"/>
    </xf>
    <xf numFmtId="168" fontId="6" fillId="0" borderId="0" xfId="0" applyNumberFormat="1" applyFont="1" applyAlignment="1" applyProtection="1">
      <alignment horizontal="right" vertical="center"/>
    </xf>
    <xf numFmtId="0" fontId="5" fillId="0" borderId="0" xfId="0" applyFont="1" applyAlignment="1" applyProtection="1">
      <alignment horizontal="right" vertical="center"/>
    </xf>
    <xf numFmtId="2" fontId="5" fillId="0" borderId="0" xfId="0" applyNumberFormat="1" applyFont="1" applyAlignment="1" applyProtection="1">
      <alignment horizontal="right" vertical="center"/>
    </xf>
    <xf numFmtId="168" fontId="5" fillId="0" borderId="0" xfId="0" applyNumberFormat="1" applyFont="1" applyAlignment="1" applyProtection="1">
      <alignment horizontal="center" vertical="center"/>
    </xf>
    <xf numFmtId="1" fontId="0" fillId="0" borderId="0" xfId="0" applyNumberFormat="1" applyFont="1" applyAlignment="1" applyProtection="1">
      <alignment horizontal="right"/>
    </xf>
    <xf numFmtId="0" fontId="7" fillId="0" borderId="0" xfId="0" applyFont="1" applyAlignment="1" applyProtection="1"/>
    <xf numFmtId="1" fontId="0" fillId="0" borderId="0" xfId="0" applyNumberFormat="1" applyFont="1" applyAlignment="1" applyProtection="1">
      <alignment horizontal="center"/>
    </xf>
    <xf numFmtId="0" fontId="8" fillId="0" borderId="0" xfId="0" applyFont="1" applyAlignment="1" applyProtection="1">
      <alignment horizontal="right" vertical="center"/>
    </xf>
    <xf numFmtId="0" fontId="2" fillId="0" borderId="0" xfId="0" applyFont="1" applyAlignment="1" applyProtection="1">
      <alignment horizontal="center" vertical="top"/>
    </xf>
    <xf numFmtId="0" fontId="5" fillId="0" borderId="0" xfId="0" applyFont="1" applyAlignment="1" applyProtection="1">
      <alignment horizontal="left" vertical="center"/>
    </xf>
    <xf numFmtId="0" fontId="6" fillId="0" borderId="0" xfId="0" applyFont="1" applyAlignment="1" applyProtection="1">
      <alignment horizontal="left" vertical="center"/>
    </xf>
    <xf numFmtId="164" fontId="0" fillId="0" borderId="0" xfId="0" applyNumberFormat="1" applyAlignment="1" applyProtection="1">
      <alignment horizontal="center"/>
    </xf>
    <xf numFmtId="164" fontId="0" fillId="0" borderId="0" xfId="0" applyNumberFormat="1" applyAlignment="1" applyProtection="1">
      <alignment horizontal="center" wrapText="1"/>
    </xf>
    <xf numFmtId="167" fontId="0" fillId="0" borderId="0" xfId="0" applyNumberFormat="1" applyFont="1" applyAlignment="1" applyProtection="1">
      <alignment horizontal="right"/>
    </xf>
    <xf numFmtId="168" fontId="0" fillId="0" borderId="0" xfId="0" applyNumberFormat="1" applyFont="1" applyAlignment="1" applyProtection="1">
      <alignment horizontal="right"/>
    </xf>
    <xf numFmtId="166" fontId="0" fillId="0" borderId="0" xfId="0" applyNumberFormat="1" applyFont="1" applyAlignment="1" applyProtection="1">
      <alignment horizontal="right"/>
    </xf>
    <xf numFmtId="0" fontId="0" fillId="0" borderId="0" xfId="0" applyAlignment="1" applyProtection="1">
      <alignment horizontal="center" wrapText="1"/>
    </xf>
    <xf numFmtId="164" fontId="7" fillId="0" borderId="0" xfId="0" applyNumberFormat="1" applyFont="1" applyAlignment="1" applyProtection="1">
      <alignment horizontal="center"/>
    </xf>
    <xf numFmtId="164" fontId="0" fillId="0" borderId="0" xfId="0" applyNumberFormat="1" applyAlignment="1" applyProtection="1"/>
    <xf numFmtId="164" fontId="7" fillId="0" borderId="0" xfId="0" applyNumberFormat="1" applyFont="1" applyAlignment="1" applyProtection="1"/>
    <xf numFmtId="167" fontId="0" fillId="0" borderId="0" xfId="0" applyNumberFormat="1" applyFont="1" applyAlignment="1" applyProtection="1">
      <alignment horizontal="center"/>
    </xf>
    <xf numFmtId="168" fontId="0" fillId="0" borderId="0" xfId="0" applyNumberFormat="1" applyFont="1" applyAlignment="1" applyProtection="1">
      <alignment horizontal="center"/>
    </xf>
    <xf numFmtId="166" fontId="0" fillId="0" borderId="0" xfId="0" applyNumberFormat="1" applyFont="1" applyAlignment="1" applyProtection="1">
      <alignment horizontal="center"/>
    </xf>
    <xf numFmtId="0" fontId="0" fillId="0" borderId="0" xfId="0" applyAlignment="1" applyProtection="1">
      <alignment wrapText="1"/>
    </xf>
    <xf numFmtId="164" fontId="0" fillId="0" borderId="0" xfId="0" applyNumberFormat="1" applyAlignment="1" applyProtection="1">
      <alignment wrapText="1"/>
    </xf>
    <xf numFmtId="0" fontId="0" fillId="0" borderId="0" xfId="0" applyFont="1" applyAlignment="1" applyProtection="1">
      <alignment wrapText="1"/>
    </xf>
    <xf numFmtId="0" fontId="9" fillId="0" borderId="0" xfId="0" applyFont="1" applyAlignment="1" applyProtection="1">
      <alignment horizontal="left" vertical="center"/>
    </xf>
    <xf numFmtId="0" fontId="10" fillId="0" borderId="0" xfId="0" applyFont="1" applyAlignment="1" applyProtection="1">
      <alignment horizontal="left" vertical="center"/>
    </xf>
    <xf numFmtId="0" fontId="2" fillId="0" borderId="0" xfId="0" applyFont="1" applyBorder="1" applyAlignment="1" applyProtection="1"/>
    <xf numFmtId="0" fontId="2" fillId="0" borderId="0" xfId="0" applyFont="1" applyBorder="1" applyAlignment="1" applyProtection="1">
      <alignment horizontal="center"/>
    </xf>
    <xf numFmtId="0" fontId="11" fillId="0" borderId="0" xfId="0" applyFont="1" applyBorder="1" applyAlignment="1" applyProtection="1"/>
    <xf numFmtId="1" fontId="0" fillId="0" borderId="0" xfId="0" applyNumberFormat="1" applyFont="1" applyAlignment="1" applyProtection="1"/>
    <xf numFmtId="2" fontId="0" fillId="0" borderId="0" xfId="0" applyNumberFormat="1" applyFont="1" applyAlignment="1" applyProtection="1"/>
    <xf numFmtId="2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999"/>
  <sheetViews>
    <sheetView tabSelected="1" topLeftCell="I1" zoomScale="85" zoomScaleNormal="85" workbookViewId="0">
      <selection activeCell="Q1" sqref="Q1"/>
    </sheetView>
  </sheetViews>
  <sheetFormatPr defaultColWidth="14.42578125" defaultRowHeight="15" customHeight="1" x14ac:dyDescent="0.25"/>
  <cols>
    <col min="1" max="1" width="20" style="1" customWidth="1"/>
    <col min="3" max="3" width="13.7109375" style="1" customWidth="1"/>
    <col min="4" max="4" width="18.7109375" style="1" customWidth="1"/>
  </cols>
  <sheetData>
    <row r="1" spans="1:17" ht="15" customHeight="1" x14ac:dyDescent="0.25">
      <c r="A1" s="3" t="s">
        <v>2</v>
      </c>
      <c r="B1" s="3" t="s">
        <v>0</v>
      </c>
      <c r="C1" s="5" t="s">
        <v>3</v>
      </c>
      <c r="D1" s="5" t="s">
        <v>4</v>
      </c>
      <c r="E1" s="5" t="s">
        <v>5</v>
      </c>
      <c r="F1" s="5" t="s">
        <v>6</v>
      </c>
      <c r="G1" s="5" t="s">
        <v>7</v>
      </c>
      <c r="H1" s="5" t="s">
        <v>8</v>
      </c>
      <c r="I1" s="5" t="s">
        <v>9</v>
      </c>
      <c r="J1" s="5" t="s">
        <v>10</v>
      </c>
      <c r="K1" s="5" t="s">
        <v>11</v>
      </c>
      <c r="L1" t="s">
        <v>13</v>
      </c>
      <c r="M1" t="s">
        <v>14</v>
      </c>
      <c r="N1" t="s">
        <v>15</v>
      </c>
      <c r="O1" t="s">
        <v>16</v>
      </c>
      <c r="P1" t="s">
        <v>17</v>
      </c>
      <c r="Q1" s="3" t="s">
        <v>12</v>
      </c>
    </row>
    <row r="2" spans="1:17" s="4" customFormat="1" ht="15" customHeight="1" x14ac:dyDescent="0.25">
      <c r="A2" s="5">
        <v>1</v>
      </c>
      <c r="B2" s="5">
        <v>0</v>
      </c>
      <c r="C2" s="8">
        <v>8</v>
      </c>
      <c r="D2" s="8">
        <v>8.6999999999999993</v>
      </c>
      <c r="E2" s="8">
        <v>65</v>
      </c>
      <c r="F2" s="8">
        <v>7.7</v>
      </c>
      <c r="G2" s="8">
        <v>3</v>
      </c>
      <c r="H2" s="8">
        <v>1.03</v>
      </c>
      <c r="I2" s="8">
        <f>(0.09*10^6*4)/(1.56*10^5*0.1)</f>
        <v>23.076923076923077</v>
      </c>
      <c r="J2" s="8">
        <v>369</v>
      </c>
      <c r="K2" s="8">
        <v>0.28299999999999997</v>
      </c>
      <c r="L2" s="65">
        <v>31.49</v>
      </c>
      <c r="M2" s="65">
        <v>39.335000000000001</v>
      </c>
      <c r="N2" s="65">
        <v>48.949999999999996</v>
      </c>
      <c r="O2" s="65">
        <v>17.420000000000002</v>
      </c>
      <c r="P2" s="65">
        <v>21.75</v>
      </c>
      <c r="Q2" s="5">
        <v>2</v>
      </c>
    </row>
    <row r="3" spans="1:17" ht="15" customHeight="1" x14ac:dyDescent="0.25">
      <c r="A3" s="5">
        <v>2</v>
      </c>
      <c r="B3" s="5">
        <v>0</v>
      </c>
      <c r="C3" s="8">
        <v>6.8</v>
      </c>
      <c r="D3" s="8">
        <v>6</v>
      </c>
      <c r="E3" s="8">
        <v>85.6</v>
      </c>
      <c r="F3" s="8">
        <v>7.7</v>
      </c>
      <c r="G3" s="8">
        <v>3</v>
      </c>
      <c r="H3" s="8">
        <v>2.0499999999999998</v>
      </c>
      <c r="I3" s="8">
        <f>(0.12*10^6*4)/(1.56*10^5*0.1)</f>
        <v>30.76923076923077</v>
      </c>
      <c r="J3" s="8">
        <v>328.9</v>
      </c>
      <c r="K3" s="8">
        <v>0.370714285714286</v>
      </c>
      <c r="L3" s="66">
        <v>26.375</v>
      </c>
      <c r="M3" s="66">
        <v>31.46</v>
      </c>
      <c r="N3" s="66">
        <v>52.79</v>
      </c>
      <c r="O3" s="66">
        <v>22.094999999999999</v>
      </c>
      <c r="P3" s="66">
        <v>17.28</v>
      </c>
      <c r="Q3" s="5">
        <v>2</v>
      </c>
    </row>
    <row r="4" spans="1:17" ht="15" customHeight="1" x14ac:dyDescent="0.25">
      <c r="A4" s="5">
        <v>3</v>
      </c>
      <c r="B4" s="5">
        <v>0</v>
      </c>
      <c r="C4" s="8">
        <v>5.2</v>
      </c>
      <c r="D4" s="8">
        <v>6</v>
      </c>
      <c r="E4" s="8">
        <v>44.1</v>
      </c>
      <c r="F4" s="8">
        <v>10.9</v>
      </c>
      <c r="G4" s="8">
        <v>4.4000000000000004</v>
      </c>
      <c r="H4" s="8">
        <v>1.03</v>
      </c>
      <c r="I4" s="8">
        <f>(0.1*10^6*4)/(1.56*10^5*0.1)</f>
        <v>25.641025641025642</v>
      </c>
      <c r="J4" s="8">
        <v>235.23</v>
      </c>
      <c r="K4" s="8">
        <v>0.622</v>
      </c>
      <c r="L4" s="66">
        <v>31.814999999999998</v>
      </c>
      <c r="M4" s="66">
        <v>50.05</v>
      </c>
      <c r="N4" s="66">
        <v>23.25</v>
      </c>
      <c r="O4" s="66">
        <v>24.02</v>
      </c>
      <c r="P4" s="66">
        <v>20.85</v>
      </c>
      <c r="Q4" s="5">
        <v>2</v>
      </c>
    </row>
    <row r="5" spans="1:17" ht="15" customHeight="1" x14ac:dyDescent="0.25">
      <c r="A5" s="5">
        <v>4</v>
      </c>
      <c r="B5" s="5">
        <v>1</v>
      </c>
      <c r="C5" s="8">
        <v>8.4</v>
      </c>
      <c r="D5" s="8">
        <v>5.6</v>
      </c>
      <c r="E5" s="8">
        <v>41.5</v>
      </c>
      <c r="F5" s="8">
        <v>8.9</v>
      </c>
      <c r="G5" s="8">
        <v>4.5999999999999996</v>
      </c>
      <c r="H5" s="8">
        <v>1.53</v>
      </c>
      <c r="I5" s="8">
        <f>(0.14*10^6*4)/(1.56*10^5*0.1)</f>
        <v>35.897435897435898</v>
      </c>
      <c r="J5" s="8">
        <v>638.6</v>
      </c>
      <c r="K5" s="8">
        <v>0.32200000000000001</v>
      </c>
      <c r="L5" s="66">
        <v>34.120000000000005</v>
      </c>
      <c r="M5" s="66">
        <v>31.61</v>
      </c>
      <c r="N5" s="66">
        <v>41.254999999999995</v>
      </c>
      <c r="O5" s="66">
        <v>23.994999999999997</v>
      </c>
      <c r="P5" s="66">
        <v>19.04</v>
      </c>
      <c r="Q5" s="5">
        <v>2</v>
      </c>
    </row>
    <row r="6" spans="1:17" ht="15" customHeight="1" x14ac:dyDescent="0.25">
      <c r="A6" s="5">
        <v>5</v>
      </c>
      <c r="B6" s="5">
        <v>0</v>
      </c>
      <c r="C6" s="8">
        <v>6.8</v>
      </c>
      <c r="D6" s="8">
        <v>10.7</v>
      </c>
      <c r="E6" s="8">
        <v>60</v>
      </c>
      <c r="F6" s="8">
        <v>12.2</v>
      </c>
      <c r="G6" s="8">
        <v>4.3</v>
      </c>
      <c r="H6" s="8">
        <v>2.56</v>
      </c>
      <c r="I6" s="8">
        <f>(0.13*10^6*4)/(1.56*10^5*0.1)</f>
        <v>33.333333333333336</v>
      </c>
      <c r="J6" s="8">
        <v>384.54</v>
      </c>
      <c r="K6" s="8">
        <v>0.28599999999999998</v>
      </c>
      <c r="L6" s="66">
        <v>32.535000000000004</v>
      </c>
      <c r="M6" s="66">
        <v>39.405000000000001</v>
      </c>
      <c r="N6" s="66">
        <v>25.419999999999998</v>
      </c>
      <c r="O6" s="66">
        <v>24.81</v>
      </c>
      <c r="P6" s="66">
        <v>27.84</v>
      </c>
      <c r="Q6" s="5">
        <v>2</v>
      </c>
    </row>
    <row r="7" spans="1:17" ht="15" customHeight="1" x14ac:dyDescent="0.25">
      <c r="A7" s="5">
        <v>6</v>
      </c>
      <c r="B7" s="5">
        <v>0</v>
      </c>
      <c r="C7" s="8">
        <v>7.6</v>
      </c>
      <c r="D7" s="8">
        <v>8</v>
      </c>
      <c r="E7" s="8">
        <v>41.5</v>
      </c>
      <c r="F7" s="8">
        <v>15.26</v>
      </c>
      <c r="G7" s="8">
        <v>4.9000000000000004</v>
      </c>
      <c r="H7" s="8">
        <v>2.0499999999999998</v>
      </c>
      <c r="I7" s="8">
        <f>(0.11*10^6*4)/(1.56*10^5*0.1)</f>
        <v>28.205128205128204</v>
      </c>
      <c r="J7" s="8">
        <v>361.28</v>
      </c>
      <c r="K7" s="8">
        <v>0.370714285714286</v>
      </c>
      <c r="L7" s="66">
        <v>25.939999999999998</v>
      </c>
      <c r="M7" s="66">
        <v>32.65</v>
      </c>
      <c r="N7" s="66">
        <v>52.05</v>
      </c>
      <c r="O7" s="66">
        <v>27.75</v>
      </c>
      <c r="P7" s="66">
        <v>15.11</v>
      </c>
      <c r="Q7" s="5">
        <v>2</v>
      </c>
    </row>
    <row r="8" spans="1:17" ht="15" customHeight="1" x14ac:dyDescent="0.25">
      <c r="A8" s="5">
        <v>7</v>
      </c>
      <c r="B8" s="5">
        <v>0</v>
      </c>
      <c r="C8" s="8">
        <v>5.2</v>
      </c>
      <c r="D8" s="8">
        <v>8</v>
      </c>
      <c r="E8" s="8">
        <v>47</v>
      </c>
      <c r="F8" s="8">
        <v>6.4</v>
      </c>
      <c r="G8" s="8">
        <v>5.3</v>
      </c>
      <c r="H8" s="8">
        <v>2.56</v>
      </c>
      <c r="I8" s="8">
        <v>28.205128205128201</v>
      </c>
      <c r="J8" s="8">
        <v>240</v>
      </c>
      <c r="K8" s="8">
        <v>0.20799999999999999</v>
      </c>
      <c r="L8" s="66">
        <v>26.05</v>
      </c>
      <c r="M8" s="66">
        <v>21.96</v>
      </c>
      <c r="N8" s="66">
        <v>15.34</v>
      </c>
      <c r="O8" s="66">
        <v>19.04</v>
      </c>
      <c r="P8" s="66">
        <v>17.61</v>
      </c>
      <c r="Q8" s="6">
        <v>3</v>
      </c>
    </row>
    <row r="9" spans="1:17" x14ac:dyDescent="0.25">
      <c r="A9" s="5">
        <v>8</v>
      </c>
      <c r="B9" s="5">
        <v>0</v>
      </c>
      <c r="C9" s="8">
        <v>1.6</v>
      </c>
      <c r="D9" s="8">
        <v>4</v>
      </c>
      <c r="E9" s="8">
        <v>72.599999999999994</v>
      </c>
      <c r="F9" s="8">
        <v>3.5</v>
      </c>
      <c r="G9" s="8">
        <v>4.5999999999999996</v>
      </c>
      <c r="H9" s="8">
        <v>1.03</v>
      </c>
      <c r="I9" s="8">
        <v>30.769230769230798</v>
      </c>
      <c r="J9" s="8">
        <v>170</v>
      </c>
      <c r="K9" s="8">
        <v>0.27500000000000002</v>
      </c>
      <c r="L9" s="66">
        <v>34.04</v>
      </c>
      <c r="M9" s="66">
        <v>33.9</v>
      </c>
      <c r="N9" s="66">
        <v>44.760000000000005</v>
      </c>
      <c r="O9" s="66">
        <v>19.64</v>
      </c>
      <c r="P9" s="66">
        <v>17.61</v>
      </c>
      <c r="Q9" s="6">
        <v>0</v>
      </c>
    </row>
    <row r="10" spans="1:17" ht="15" customHeight="1" x14ac:dyDescent="0.25">
      <c r="A10" s="5">
        <v>9</v>
      </c>
      <c r="B10" s="5">
        <v>0</v>
      </c>
      <c r="C10" s="8">
        <v>8.4</v>
      </c>
      <c r="D10" s="8">
        <v>12.7</v>
      </c>
      <c r="E10" s="8">
        <v>52</v>
      </c>
      <c r="F10" s="8">
        <v>11.5</v>
      </c>
      <c r="G10" s="8">
        <v>3.2</v>
      </c>
      <c r="H10" s="8">
        <v>2.0499999999999998</v>
      </c>
      <c r="I10" s="8">
        <f>(0.1*10^6*4)/(1.56*10^5*0.1)</f>
        <v>25.641025641025642</v>
      </c>
      <c r="J10" s="8">
        <v>472.4</v>
      </c>
      <c r="K10" s="8">
        <v>0.51400000000000001</v>
      </c>
      <c r="L10" s="66">
        <v>31.835000000000001</v>
      </c>
      <c r="M10" s="66">
        <v>38.894999999999996</v>
      </c>
      <c r="N10" s="66">
        <v>39.94</v>
      </c>
      <c r="O10" s="66">
        <v>22.840000000000003</v>
      </c>
      <c r="P10" s="66">
        <v>16.489999999999998</v>
      </c>
      <c r="Q10" s="5">
        <v>2</v>
      </c>
    </row>
    <row r="11" spans="1:17" x14ac:dyDescent="0.25">
      <c r="A11" s="5">
        <v>10</v>
      </c>
      <c r="B11" s="5">
        <v>0</v>
      </c>
      <c r="C11" s="8">
        <v>0.8</v>
      </c>
      <c r="D11" s="8">
        <v>6</v>
      </c>
      <c r="E11" s="8">
        <v>75.2</v>
      </c>
      <c r="F11" s="8">
        <v>4.9000000000000004</v>
      </c>
      <c r="G11" s="8">
        <v>4.9000000000000004</v>
      </c>
      <c r="H11" s="8">
        <v>2.0499999999999998</v>
      </c>
      <c r="I11" s="8">
        <v>23.076923076923102</v>
      </c>
      <c r="J11" s="8">
        <v>235.416666666667</v>
      </c>
      <c r="K11" s="8">
        <v>0.27153333333333302</v>
      </c>
      <c r="L11" s="66">
        <v>32.89</v>
      </c>
      <c r="M11" s="66">
        <v>34.71</v>
      </c>
      <c r="N11" s="66">
        <v>47.190000000000005</v>
      </c>
      <c r="O11" s="66">
        <v>24.19</v>
      </c>
      <c r="P11" s="66">
        <v>10.87</v>
      </c>
      <c r="Q11" s="6">
        <v>0</v>
      </c>
    </row>
    <row r="12" spans="1:17" ht="15" customHeight="1" x14ac:dyDescent="0.25">
      <c r="A12" s="5">
        <v>11</v>
      </c>
      <c r="B12" s="5">
        <v>1</v>
      </c>
      <c r="C12" s="8">
        <v>2</v>
      </c>
      <c r="D12" s="8">
        <v>5.4</v>
      </c>
      <c r="E12" s="8">
        <v>65</v>
      </c>
      <c r="F12" s="8">
        <v>4.2</v>
      </c>
      <c r="G12" s="8">
        <v>6.26</v>
      </c>
      <c r="H12" s="8">
        <v>3.1466666666666701</v>
      </c>
      <c r="I12" s="8">
        <v>35.897435897435898</v>
      </c>
      <c r="J12" s="8">
        <v>380</v>
      </c>
      <c r="K12" s="8">
        <v>0.17499999999999999</v>
      </c>
      <c r="L12" s="66">
        <v>21.924699999999998</v>
      </c>
      <c r="M12" s="66">
        <v>25.543700000000005</v>
      </c>
      <c r="N12" s="66">
        <v>30.888199999999998</v>
      </c>
      <c r="O12" s="66">
        <v>17.4923</v>
      </c>
      <c r="P12" s="66">
        <v>14.960399999999998</v>
      </c>
      <c r="Q12" s="5">
        <v>3</v>
      </c>
    </row>
    <row r="13" spans="1:17" ht="15" customHeight="1" x14ac:dyDescent="0.25">
      <c r="A13" s="5">
        <v>12</v>
      </c>
      <c r="B13" s="5">
        <v>0</v>
      </c>
      <c r="C13" s="8">
        <v>6.4</v>
      </c>
      <c r="D13" s="8">
        <v>7.3</v>
      </c>
      <c r="E13" s="8">
        <v>72.599999999999994</v>
      </c>
      <c r="F13" s="8">
        <v>6.4</v>
      </c>
      <c r="G13" s="8">
        <v>4.3</v>
      </c>
      <c r="H13" s="8">
        <v>1.03</v>
      </c>
      <c r="I13" s="8">
        <f>(0.145*10^6*4)/(1.56*10^5*0.1)</f>
        <v>37.179487179487182</v>
      </c>
      <c r="J13" s="8">
        <v>474.85</v>
      </c>
      <c r="K13" s="8">
        <v>0.50600000000000001</v>
      </c>
      <c r="L13" s="66">
        <v>31.17</v>
      </c>
      <c r="M13" s="66">
        <v>37.305</v>
      </c>
      <c r="N13" s="66">
        <v>40.884999999999998</v>
      </c>
      <c r="O13" s="66">
        <v>26.035</v>
      </c>
      <c r="P13" s="66">
        <v>14.615</v>
      </c>
      <c r="Q13" s="5">
        <v>2</v>
      </c>
    </row>
    <row r="14" spans="1:17" ht="15" customHeight="1" x14ac:dyDescent="0.25">
      <c r="A14" s="5">
        <v>13</v>
      </c>
      <c r="B14" s="5">
        <v>1</v>
      </c>
      <c r="C14" s="8">
        <v>4.5999999999999996</v>
      </c>
      <c r="D14" s="8">
        <v>4</v>
      </c>
      <c r="E14" s="8">
        <v>70</v>
      </c>
      <c r="F14" s="8">
        <v>5.6</v>
      </c>
      <c r="G14" s="8">
        <v>6.26</v>
      </c>
      <c r="H14" s="8">
        <v>3.08</v>
      </c>
      <c r="I14" s="8">
        <v>33.3333333333333</v>
      </c>
      <c r="J14" s="8">
        <v>250</v>
      </c>
      <c r="K14" s="8">
        <v>0.30299999999999999</v>
      </c>
      <c r="L14" s="66">
        <v>21.924699999999998</v>
      </c>
      <c r="M14" s="66">
        <v>25.543700000000005</v>
      </c>
      <c r="N14" s="66">
        <v>30.888199999999998</v>
      </c>
      <c r="O14" s="66">
        <v>17.4923</v>
      </c>
      <c r="P14" s="66">
        <v>14.960399999999998</v>
      </c>
      <c r="Q14" s="6">
        <v>3</v>
      </c>
    </row>
    <row r="15" spans="1:17" ht="15" customHeight="1" x14ac:dyDescent="0.25">
      <c r="A15" s="5">
        <v>14</v>
      </c>
      <c r="B15" s="5">
        <v>0</v>
      </c>
      <c r="C15" s="8">
        <v>0.8</v>
      </c>
      <c r="D15" s="8">
        <v>4</v>
      </c>
      <c r="E15" s="8">
        <v>67.400000000000006</v>
      </c>
      <c r="F15" s="8">
        <v>6.4</v>
      </c>
      <c r="G15" s="8">
        <v>6.26</v>
      </c>
      <c r="H15" s="8">
        <v>6.2</v>
      </c>
      <c r="I15" s="8">
        <v>34.615384615384599</v>
      </c>
      <c r="J15" s="8">
        <v>310</v>
      </c>
      <c r="K15" s="8">
        <v>0.311</v>
      </c>
      <c r="L15" s="66">
        <v>21.924699999999998</v>
      </c>
      <c r="M15" s="66">
        <v>25.543700000000005</v>
      </c>
      <c r="N15" s="66">
        <v>30.888199999999998</v>
      </c>
      <c r="O15" s="66">
        <v>17.4923</v>
      </c>
      <c r="P15" s="66">
        <v>14.960399999999998</v>
      </c>
      <c r="Q15" s="6">
        <v>3</v>
      </c>
    </row>
    <row r="16" spans="1:17" ht="15" customHeight="1" x14ac:dyDescent="0.25">
      <c r="A16" s="5">
        <v>15</v>
      </c>
      <c r="B16" s="5">
        <v>0</v>
      </c>
      <c r="C16" s="8">
        <v>5.2</v>
      </c>
      <c r="D16" s="8">
        <v>5.2</v>
      </c>
      <c r="E16" s="8">
        <v>65</v>
      </c>
      <c r="F16" s="8">
        <v>7.7</v>
      </c>
      <c r="G16" s="8">
        <v>3</v>
      </c>
      <c r="H16" s="8">
        <v>2.0499999999999998</v>
      </c>
      <c r="I16" s="8">
        <f>(0.1*10^6*4)/(1.56*10^5*0.1)</f>
        <v>25.641025641025642</v>
      </c>
      <c r="J16" s="8">
        <v>280</v>
      </c>
      <c r="K16" s="8">
        <v>0.33900000000000002</v>
      </c>
      <c r="L16" s="66">
        <v>30.53</v>
      </c>
      <c r="M16" s="66">
        <v>36.349999999999994</v>
      </c>
      <c r="N16" s="66">
        <v>43.274999999999999</v>
      </c>
      <c r="O16" s="66">
        <v>21.94</v>
      </c>
      <c r="P16" s="66">
        <v>17.91</v>
      </c>
      <c r="Q16" s="5">
        <v>2</v>
      </c>
    </row>
    <row r="17" spans="1:23" x14ac:dyDescent="0.25">
      <c r="A17" s="5">
        <v>16</v>
      </c>
      <c r="B17" s="5">
        <v>1</v>
      </c>
      <c r="C17" s="8">
        <v>1.6</v>
      </c>
      <c r="D17" s="8">
        <v>5.8</v>
      </c>
      <c r="E17" s="8">
        <v>74</v>
      </c>
      <c r="F17" s="8">
        <v>6.7</v>
      </c>
      <c r="G17" s="8">
        <v>2.2999999999999998</v>
      </c>
      <c r="H17" s="8">
        <v>1.53</v>
      </c>
      <c r="I17" s="8">
        <v>21.794871794871799</v>
      </c>
      <c r="J17" s="8">
        <v>185</v>
      </c>
      <c r="K17" s="8">
        <v>0.24199999999999999</v>
      </c>
      <c r="L17" s="66">
        <v>31.23</v>
      </c>
      <c r="M17" s="66">
        <v>42.09</v>
      </c>
      <c r="N17" s="66">
        <v>44.29</v>
      </c>
      <c r="O17" s="66">
        <v>25.740000000000002</v>
      </c>
      <c r="P17" s="66">
        <v>17.100000000000001</v>
      </c>
      <c r="Q17" s="6">
        <v>0</v>
      </c>
    </row>
    <row r="18" spans="1:23" ht="15" customHeight="1" x14ac:dyDescent="0.25">
      <c r="A18" s="5">
        <v>17</v>
      </c>
      <c r="B18" s="5">
        <v>1</v>
      </c>
      <c r="C18" s="8">
        <v>11.5</v>
      </c>
      <c r="D18" s="8">
        <v>7.3</v>
      </c>
      <c r="E18" s="8">
        <v>57</v>
      </c>
      <c r="F18" s="8">
        <v>12.2</v>
      </c>
      <c r="G18" s="8">
        <v>4.5999999999999996</v>
      </c>
      <c r="H18" s="8">
        <v>4.6100000000000003</v>
      </c>
      <c r="I18" s="8">
        <f>(0.13*10^6*4)/(1.56*10^5*0.1)</f>
        <v>33.333333333333336</v>
      </c>
      <c r="J18" s="8">
        <v>490.33</v>
      </c>
      <c r="K18" s="8">
        <v>0.370714285714286</v>
      </c>
      <c r="L18" s="66">
        <v>25.79</v>
      </c>
      <c r="M18" s="66">
        <v>37.629999999999995</v>
      </c>
      <c r="N18" s="66">
        <v>46.585000000000001</v>
      </c>
      <c r="O18" s="66">
        <v>26.285</v>
      </c>
      <c r="P18" s="66">
        <v>13.71</v>
      </c>
      <c r="Q18" s="5">
        <v>2</v>
      </c>
    </row>
    <row r="19" spans="1:23" ht="15" customHeight="1" x14ac:dyDescent="0.25">
      <c r="A19" s="5">
        <v>18</v>
      </c>
      <c r="B19" s="5">
        <v>0</v>
      </c>
      <c r="C19" s="8">
        <v>6</v>
      </c>
      <c r="D19" s="8">
        <v>1.7</v>
      </c>
      <c r="E19" s="8">
        <v>63</v>
      </c>
      <c r="F19" s="8">
        <v>7.7</v>
      </c>
      <c r="G19" s="8">
        <v>3.8</v>
      </c>
      <c r="H19" s="8">
        <v>1.03</v>
      </c>
      <c r="I19" s="8">
        <f>(0.11*10^6*4)/(1.56*10^5*0.1)</f>
        <v>28.205128205128204</v>
      </c>
      <c r="J19" s="8">
        <v>184.54</v>
      </c>
      <c r="K19" s="8">
        <v>0.41099999999999998</v>
      </c>
      <c r="L19" s="66">
        <v>35.224999999999994</v>
      </c>
      <c r="M19" s="66">
        <v>30.410000000000004</v>
      </c>
      <c r="N19" s="66">
        <v>46.605000000000004</v>
      </c>
      <c r="O19" s="66">
        <v>28.494999999999997</v>
      </c>
      <c r="P19" s="66">
        <v>20.324999999999999</v>
      </c>
      <c r="Q19" s="5">
        <v>2</v>
      </c>
    </row>
    <row r="20" spans="1:23" ht="15.75" customHeight="1" x14ac:dyDescent="0.25">
      <c r="A20" s="5">
        <v>19</v>
      </c>
      <c r="B20" s="5">
        <v>0</v>
      </c>
      <c r="C20" s="8">
        <v>9.6</v>
      </c>
      <c r="D20" s="8">
        <v>4.5999999999999996</v>
      </c>
      <c r="E20" s="8">
        <v>52</v>
      </c>
      <c r="F20" s="8">
        <v>5.6</v>
      </c>
      <c r="G20" s="8">
        <v>6.26</v>
      </c>
      <c r="H20" s="8">
        <v>4.0999999999999996</v>
      </c>
      <c r="I20" s="8">
        <v>25.6410256410256</v>
      </c>
      <c r="J20" s="8">
        <v>210</v>
      </c>
      <c r="K20" s="8">
        <v>0.19400000000000001</v>
      </c>
      <c r="L20" s="66">
        <v>17.21</v>
      </c>
      <c r="M20" s="66">
        <v>26.29</v>
      </c>
      <c r="N20" s="66">
        <v>22.91</v>
      </c>
      <c r="O20" s="66">
        <v>17.510000000000002</v>
      </c>
      <c r="P20" s="66">
        <v>16.079999999999998</v>
      </c>
      <c r="Q20" s="6">
        <v>3</v>
      </c>
    </row>
    <row r="21" spans="1:23" ht="15.75" customHeight="1" x14ac:dyDescent="0.25">
      <c r="A21" s="5">
        <v>20</v>
      </c>
      <c r="B21" s="5">
        <v>0</v>
      </c>
      <c r="C21" s="8">
        <v>4.4000000000000004</v>
      </c>
      <c r="D21" s="8">
        <v>7.3</v>
      </c>
      <c r="E21" s="8">
        <v>60</v>
      </c>
      <c r="F21" s="8">
        <v>5.6</v>
      </c>
      <c r="G21" s="8">
        <v>5.3</v>
      </c>
      <c r="H21" s="8">
        <v>3.58</v>
      </c>
      <c r="I21" s="8">
        <v>28.205128205128201</v>
      </c>
      <c r="J21" s="8">
        <v>350</v>
      </c>
      <c r="K21" s="8">
        <v>0.247</v>
      </c>
      <c r="L21" s="66">
        <v>21.924699999999998</v>
      </c>
      <c r="M21" s="66">
        <v>25.543700000000005</v>
      </c>
      <c r="N21" s="66">
        <v>30.888199999999998</v>
      </c>
      <c r="O21" s="66">
        <v>17.4923</v>
      </c>
      <c r="P21" s="66">
        <v>14.960399999999998</v>
      </c>
      <c r="Q21" s="6">
        <v>3</v>
      </c>
    </row>
    <row r="22" spans="1:23" ht="15.75" customHeight="1" x14ac:dyDescent="0.25">
      <c r="A22" s="5">
        <v>21</v>
      </c>
      <c r="B22" s="5">
        <v>0</v>
      </c>
      <c r="C22" s="8">
        <v>4.8</v>
      </c>
      <c r="D22" s="8">
        <v>5.2</v>
      </c>
      <c r="E22" s="8">
        <v>62.2</v>
      </c>
      <c r="F22" s="8">
        <v>6.4</v>
      </c>
      <c r="G22" s="8">
        <v>6.4</v>
      </c>
      <c r="H22" s="8">
        <v>3.08</v>
      </c>
      <c r="I22" s="8">
        <v>21.794871794871799</v>
      </c>
      <c r="J22" s="8">
        <v>300</v>
      </c>
      <c r="K22" s="8">
        <v>0.18099999999999999</v>
      </c>
      <c r="L22" s="66">
        <v>25.1</v>
      </c>
      <c r="M22" s="66">
        <v>28.78</v>
      </c>
      <c r="N22" s="66">
        <v>21.07</v>
      </c>
      <c r="O22" s="66">
        <v>12.07</v>
      </c>
      <c r="P22" s="66">
        <v>12.98</v>
      </c>
      <c r="Q22" s="6">
        <v>3</v>
      </c>
    </row>
    <row r="23" spans="1:23" ht="15.75" customHeight="1" x14ac:dyDescent="0.25">
      <c r="A23" s="5">
        <v>22</v>
      </c>
      <c r="B23" s="5">
        <v>1</v>
      </c>
      <c r="C23" s="8">
        <v>1.6</v>
      </c>
      <c r="D23" s="8">
        <v>6.3</v>
      </c>
      <c r="E23" s="8">
        <v>85</v>
      </c>
      <c r="F23" s="8">
        <v>5.6</v>
      </c>
      <c r="G23" s="8">
        <v>6.8</v>
      </c>
      <c r="H23" s="8">
        <v>1.53</v>
      </c>
      <c r="I23" s="8">
        <v>20.5128205128205</v>
      </c>
      <c r="J23" s="8">
        <v>195</v>
      </c>
      <c r="K23" s="8">
        <v>0.27500000000000002</v>
      </c>
      <c r="L23" s="66">
        <v>24.39</v>
      </c>
      <c r="M23" s="66">
        <v>47.11</v>
      </c>
      <c r="N23" s="66">
        <v>38.5</v>
      </c>
      <c r="O23" s="66">
        <v>23.5</v>
      </c>
      <c r="P23" s="66">
        <v>16.5</v>
      </c>
      <c r="Q23" s="6">
        <v>0</v>
      </c>
    </row>
    <row r="24" spans="1:23" ht="15.75" customHeight="1" x14ac:dyDescent="0.25">
      <c r="A24" s="5">
        <v>23</v>
      </c>
      <c r="B24" s="5">
        <v>0</v>
      </c>
      <c r="C24" s="8">
        <v>0.8</v>
      </c>
      <c r="D24" s="8">
        <v>5.4</v>
      </c>
      <c r="E24" s="8">
        <v>70</v>
      </c>
      <c r="F24" s="8">
        <v>5.6</v>
      </c>
      <c r="G24" s="8">
        <v>2</v>
      </c>
      <c r="H24" s="8">
        <v>2.56</v>
      </c>
      <c r="I24" s="8">
        <v>33.3333333333333</v>
      </c>
      <c r="J24" s="8">
        <v>340</v>
      </c>
      <c r="K24" s="8">
        <v>0.4</v>
      </c>
      <c r="L24" s="66">
        <v>16.7</v>
      </c>
      <c r="M24" s="66">
        <v>25.98</v>
      </c>
      <c r="N24" s="66">
        <v>33.380000000000003</v>
      </c>
      <c r="O24" s="66">
        <v>10.56</v>
      </c>
      <c r="P24" s="66">
        <v>13.38</v>
      </c>
      <c r="Q24" s="6">
        <v>0</v>
      </c>
    </row>
    <row r="25" spans="1:23" ht="15.75" customHeight="1" x14ac:dyDescent="0.25">
      <c r="A25" s="5">
        <v>24</v>
      </c>
      <c r="B25" s="5">
        <v>0</v>
      </c>
      <c r="C25" s="8">
        <v>4.8</v>
      </c>
      <c r="D25" s="8">
        <v>8.6999999999999993</v>
      </c>
      <c r="E25" s="8">
        <v>52</v>
      </c>
      <c r="F25" s="8">
        <v>8.9</v>
      </c>
      <c r="G25" s="8">
        <v>4.5999999999999996</v>
      </c>
      <c r="H25" s="8">
        <v>1.53</v>
      </c>
      <c r="I25" s="8">
        <v>28.205128205128201</v>
      </c>
      <c r="J25" s="8">
        <v>276.66666666666703</v>
      </c>
      <c r="K25" s="8">
        <v>0.311</v>
      </c>
      <c r="L25" s="66">
        <v>21.924699999999998</v>
      </c>
      <c r="M25" s="66">
        <v>25.543700000000005</v>
      </c>
      <c r="N25" s="66">
        <v>30.888199999999998</v>
      </c>
      <c r="O25" s="66">
        <v>17.4923</v>
      </c>
      <c r="P25" s="66">
        <v>14.960399999999998</v>
      </c>
      <c r="Q25" s="6">
        <v>3</v>
      </c>
    </row>
    <row r="26" spans="1:23" ht="15.75" customHeight="1" x14ac:dyDescent="0.25">
      <c r="A26" s="5">
        <v>25</v>
      </c>
      <c r="B26" s="5">
        <v>0</v>
      </c>
      <c r="C26" s="8">
        <v>8</v>
      </c>
      <c r="D26" s="8">
        <v>7.3</v>
      </c>
      <c r="E26" s="8">
        <v>67.400000000000006</v>
      </c>
      <c r="F26" s="8">
        <v>12.2</v>
      </c>
      <c r="G26" s="8">
        <v>3</v>
      </c>
      <c r="H26" s="8">
        <v>1.53</v>
      </c>
      <c r="I26" s="8">
        <f>(0.15*10^6*4)/(1.56*10^5*0.1)</f>
        <v>38.46153846153846</v>
      </c>
      <c r="J26" s="8">
        <v>321.27</v>
      </c>
      <c r="K26" s="8">
        <v>0.39700000000000002</v>
      </c>
      <c r="L26" s="66">
        <v>27.015000000000001</v>
      </c>
      <c r="M26" s="66">
        <v>35.96</v>
      </c>
      <c r="N26" s="66">
        <v>44.075000000000003</v>
      </c>
      <c r="O26" s="66">
        <v>24.265000000000001</v>
      </c>
      <c r="P26" s="66">
        <v>18.695</v>
      </c>
      <c r="Q26" s="5">
        <v>2</v>
      </c>
    </row>
    <row r="27" spans="1:23" s="4" customFormat="1" ht="15.75" customHeight="1" x14ac:dyDescent="0.25">
      <c r="A27" s="5">
        <v>26</v>
      </c>
      <c r="B27" s="5">
        <v>1</v>
      </c>
      <c r="C27" s="8">
        <v>6.8</v>
      </c>
      <c r="D27" s="8">
        <v>10.7</v>
      </c>
      <c r="E27" s="8">
        <v>65</v>
      </c>
      <c r="F27" s="8">
        <v>8.9</v>
      </c>
      <c r="G27" s="8">
        <v>2.9</v>
      </c>
      <c r="H27" s="8">
        <v>1.03</v>
      </c>
      <c r="I27" s="8">
        <f>(0.095*10^6*4)/(1.56*10^5*0.1)</f>
        <v>24.358974358974358</v>
      </c>
      <c r="J27" s="8">
        <v>606.14</v>
      </c>
      <c r="K27" s="8">
        <v>0.22800000000000001</v>
      </c>
      <c r="L27" s="65">
        <v>28.259999999999998</v>
      </c>
      <c r="M27" s="65">
        <v>35.635000000000005</v>
      </c>
      <c r="N27" s="65">
        <v>48.954999999999998</v>
      </c>
      <c r="O27" s="65">
        <v>21.85</v>
      </c>
      <c r="P27" s="65">
        <v>15.305</v>
      </c>
      <c r="Q27" s="5">
        <v>2</v>
      </c>
    </row>
    <row r="28" spans="1:23" ht="15.75" customHeight="1" x14ac:dyDescent="0.25">
      <c r="A28" s="5">
        <v>27</v>
      </c>
      <c r="B28" s="5">
        <v>0</v>
      </c>
      <c r="C28" s="8">
        <v>6</v>
      </c>
      <c r="D28" s="8">
        <v>4.7</v>
      </c>
      <c r="E28" s="8">
        <v>73</v>
      </c>
      <c r="F28" s="8">
        <v>8.9</v>
      </c>
      <c r="G28" s="8">
        <v>5.8</v>
      </c>
      <c r="H28" s="8">
        <v>3.08</v>
      </c>
      <c r="I28" s="8">
        <v>28.205128205128201</v>
      </c>
      <c r="J28" s="8">
        <v>400</v>
      </c>
      <c r="K28" s="8">
        <v>0.17699999999999999</v>
      </c>
      <c r="L28" s="66">
        <v>17.48</v>
      </c>
      <c r="M28" s="66">
        <v>31.21</v>
      </c>
      <c r="N28" s="66">
        <v>22.17</v>
      </c>
      <c r="O28" s="66">
        <v>15.14</v>
      </c>
      <c r="P28" s="66">
        <v>14</v>
      </c>
      <c r="Q28" s="6">
        <v>3</v>
      </c>
    </row>
    <row r="29" spans="1:23" s="4" customFormat="1" ht="15.75" customHeight="1" x14ac:dyDescent="0.25">
      <c r="A29" s="5">
        <v>28</v>
      </c>
      <c r="B29" s="5">
        <v>0</v>
      </c>
      <c r="C29" s="8">
        <v>5.2</v>
      </c>
      <c r="D29" s="8">
        <v>11.3</v>
      </c>
      <c r="E29" s="8">
        <v>44.1</v>
      </c>
      <c r="F29" s="8">
        <v>17.3</v>
      </c>
      <c r="G29" s="8">
        <v>3</v>
      </c>
      <c r="H29" s="8">
        <v>3.08</v>
      </c>
      <c r="I29" s="8">
        <f>(0.15*10^6*4)/(1.56*10^5*0.1)</f>
        <v>38.46153846153846</v>
      </c>
      <c r="J29" s="8">
        <v>369</v>
      </c>
      <c r="K29" s="8">
        <v>0.28299999999999997</v>
      </c>
      <c r="L29" s="4">
        <v>22.96</v>
      </c>
      <c r="M29" s="4">
        <v>20.5</v>
      </c>
      <c r="N29" s="4">
        <v>20.149999999999999</v>
      </c>
      <c r="O29" s="4">
        <v>16.350000000000001</v>
      </c>
      <c r="P29" s="4">
        <v>20.04</v>
      </c>
      <c r="Q29" s="5">
        <v>2</v>
      </c>
    </row>
    <row r="30" spans="1:23" s="4" customFormat="1" ht="15.75" customHeight="1" x14ac:dyDescent="0.25">
      <c r="A30" s="5">
        <v>29</v>
      </c>
      <c r="B30" s="5">
        <v>0</v>
      </c>
      <c r="C30" s="8">
        <v>7.6</v>
      </c>
      <c r="D30" s="8">
        <v>6.8</v>
      </c>
      <c r="E30" s="8">
        <v>57</v>
      </c>
      <c r="F30" s="8">
        <v>7.7</v>
      </c>
      <c r="G30" s="8">
        <v>8</v>
      </c>
      <c r="H30" s="8">
        <v>2.0499999999999998</v>
      </c>
      <c r="I30" s="8">
        <v>28.205128205128201</v>
      </c>
      <c r="J30" s="8">
        <v>320</v>
      </c>
      <c r="K30" s="8">
        <v>0.33900000000000002</v>
      </c>
      <c r="L30" s="65">
        <v>22.96</v>
      </c>
      <c r="M30" s="65">
        <v>20.5</v>
      </c>
      <c r="N30" s="65">
        <v>20.149999999999999</v>
      </c>
      <c r="O30" s="65">
        <v>16.350000000000001</v>
      </c>
      <c r="P30" s="65">
        <v>20.04</v>
      </c>
      <c r="Q30" s="6">
        <v>3</v>
      </c>
      <c r="S30"/>
      <c r="T30"/>
      <c r="U30"/>
      <c r="V30"/>
      <c r="W30"/>
    </row>
    <row r="31" spans="1:23" ht="15.75" customHeight="1" x14ac:dyDescent="0.25">
      <c r="A31" s="5">
        <v>30</v>
      </c>
      <c r="B31" s="5">
        <v>0</v>
      </c>
      <c r="C31" s="8">
        <v>1.2</v>
      </c>
      <c r="D31" s="8">
        <v>4.8</v>
      </c>
      <c r="E31" s="8">
        <v>73</v>
      </c>
      <c r="F31" s="8">
        <v>6.4</v>
      </c>
      <c r="G31" s="8">
        <v>4.5999999999999996</v>
      </c>
      <c r="H31" s="8">
        <v>2.0499999999999998</v>
      </c>
      <c r="I31" s="8">
        <f>(0.14*10^6*4)/(1.56*10^5*0.1)</f>
        <v>35.897435897435898</v>
      </c>
      <c r="J31" s="8">
        <v>325</v>
      </c>
      <c r="K31" s="8">
        <v>0.17499999999999999</v>
      </c>
      <c r="L31" s="66">
        <v>18.649999999999999</v>
      </c>
      <c r="M31" s="66">
        <v>18.79</v>
      </c>
      <c r="N31" s="66">
        <v>18.79</v>
      </c>
      <c r="O31" s="66">
        <v>19.809999999999999</v>
      </c>
      <c r="P31" s="66">
        <v>23.96</v>
      </c>
      <c r="Q31" s="5">
        <v>2</v>
      </c>
    </row>
    <row r="32" spans="1:23" ht="15.75" customHeight="1" x14ac:dyDescent="0.25">
      <c r="A32" s="5">
        <v>31</v>
      </c>
      <c r="B32" s="5">
        <v>0</v>
      </c>
      <c r="C32" s="8">
        <v>8</v>
      </c>
      <c r="D32" s="8">
        <v>9.3000000000000007</v>
      </c>
      <c r="E32" s="8">
        <v>52</v>
      </c>
      <c r="F32" s="8">
        <v>13.4</v>
      </c>
      <c r="G32" s="8">
        <v>4.5999999999999996</v>
      </c>
      <c r="H32" s="8">
        <v>1.03</v>
      </c>
      <c r="I32" s="8">
        <f>(0.1*10^6*4)/(1.56*10^5*0.1)</f>
        <v>25.641025641025642</v>
      </c>
      <c r="J32" s="8">
        <v>132.71</v>
      </c>
      <c r="K32" s="8">
        <v>0.94199999999999995</v>
      </c>
      <c r="L32" s="66">
        <v>25.5</v>
      </c>
      <c r="M32" s="66">
        <v>50.884999999999998</v>
      </c>
      <c r="N32" s="66">
        <v>35.14</v>
      </c>
      <c r="O32" s="66">
        <v>19.524999999999999</v>
      </c>
      <c r="P32" s="66">
        <v>18.5</v>
      </c>
      <c r="Q32" s="5">
        <v>2</v>
      </c>
    </row>
    <row r="33" spans="1:29" ht="15.75" customHeight="1" x14ac:dyDescent="0.25">
      <c r="A33" s="5">
        <v>32</v>
      </c>
      <c r="B33" s="5">
        <v>0</v>
      </c>
      <c r="C33" s="8">
        <v>6.4</v>
      </c>
      <c r="D33" s="8">
        <v>10.7</v>
      </c>
      <c r="E33" s="8">
        <v>52</v>
      </c>
      <c r="F33" s="8">
        <v>11.5</v>
      </c>
      <c r="G33" s="8">
        <v>5.5</v>
      </c>
      <c r="H33" s="8">
        <v>2.0499999999999998</v>
      </c>
      <c r="I33" s="8">
        <v>30.769230769230798</v>
      </c>
      <c r="J33" s="8">
        <v>300</v>
      </c>
      <c r="K33" s="8">
        <v>0.17499999999999999</v>
      </c>
      <c r="L33" s="65">
        <v>17.239999999999998</v>
      </c>
      <c r="M33" s="65">
        <v>23.12</v>
      </c>
      <c r="N33" s="65">
        <v>22.86</v>
      </c>
      <c r="O33" s="65">
        <v>19.84</v>
      </c>
      <c r="P33" s="65">
        <v>16.940000000000001</v>
      </c>
      <c r="Q33" s="6">
        <v>3</v>
      </c>
      <c r="Y33" s="4"/>
      <c r="Z33" s="4"/>
      <c r="AA33" s="4"/>
      <c r="AB33" s="4"/>
      <c r="AC33" s="4"/>
    </row>
    <row r="34" spans="1:29" ht="15.75" customHeight="1" x14ac:dyDescent="0.25">
      <c r="A34" s="5">
        <v>33</v>
      </c>
      <c r="B34" s="5">
        <v>0</v>
      </c>
      <c r="C34" s="8">
        <v>2</v>
      </c>
      <c r="D34" s="8">
        <v>5.3</v>
      </c>
      <c r="E34" s="8">
        <v>75.2</v>
      </c>
      <c r="F34" s="8">
        <v>5.5</v>
      </c>
      <c r="G34" s="8">
        <v>3.3</v>
      </c>
      <c r="H34" s="8">
        <v>1.53</v>
      </c>
      <c r="I34" s="8">
        <v>30.769230769230798</v>
      </c>
      <c r="J34" s="8">
        <v>235.416666666667</v>
      </c>
      <c r="K34" s="8">
        <v>0.27200000000000002</v>
      </c>
      <c r="L34" s="66">
        <v>30.04</v>
      </c>
      <c r="M34" s="66">
        <v>27.18</v>
      </c>
      <c r="N34" s="66">
        <v>52.12</v>
      </c>
      <c r="O34" s="66">
        <v>25.16</v>
      </c>
      <c r="P34" s="66">
        <v>15.45</v>
      </c>
      <c r="Q34" s="6">
        <v>0</v>
      </c>
    </row>
    <row r="35" spans="1:29" ht="15.75" customHeight="1" x14ac:dyDescent="0.25">
      <c r="A35" s="5">
        <v>34</v>
      </c>
      <c r="B35" s="5">
        <v>0</v>
      </c>
      <c r="C35" s="8">
        <v>2</v>
      </c>
      <c r="D35" s="8">
        <v>4.7</v>
      </c>
      <c r="E35" s="8">
        <v>60</v>
      </c>
      <c r="F35" s="8">
        <v>6.7</v>
      </c>
      <c r="G35" s="8">
        <v>6.26</v>
      </c>
      <c r="H35" s="8">
        <v>4.0999999999999996</v>
      </c>
      <c r="I35" s="8">
        <v>28.205128205128201</v>
      </c>
      <c r="J35" s="8">
        <v>240</v>
      </c>
      <c r="K35" s="8">
        <v>0.497</v>
      </c>
      <c r="L35" s="66">
        <v>21.924699999999998</v>
      </c>
      <c r="M35" s="66">
        <v>25.543700000000005</v>
      </c>
      <c r="N35" s="66">
        <v>30.888199999999998</v>
      </c>
      <c r="O35" s="66">
        <v>17.4923</v>
      </c>
      <c r="P35" s="66">
        <v>14.960399999999998</v>
      </c>
      <c r="Q35" s="6">
        <v>3</v>
      </c>
    </row>
    <row r="36" spans="1:29" ht="15.75" customHeight="1" x14ac:dyDescent="0.25">
      <c r="A36" s="5">
        <v>35</v>
      </c>
      <c r="B36" s="5">
        <v>0</v>
      </c>
      <c r="C36" s="8">
        <v>1.2</v>
      </c>
      <c r="D36" s="8">
        <v>4.7</v>
      </c>
      <c r="E36" s="8">
        <v>72.599999999999994</v>
      </c>
      <c r="F36" s="8">
        <v>3.5</v>
      </c>
      <c r="G36" s="8">
        <v>5.9</v>
      </c>
      <c r="H36" s="8">
        <v>3.08</v>
      </c>
      <c r="I36" s="8">
        <v>28.205128205128201</v>
      </c>
      <c r="J36" s="8">
        <v>295</v>
      </c>
      <c r="K36" s="8">
        <v>0.27200000000000002</v>
      </c>
      <c r="L36" s="66">
        <v>37.51</v>
      </c>
      <c r="M36" s="66">
        <v>32.58</v>
      </c>
      <c r="N36" s="66">
        <v>43.870000000000005</v>
      </c>
      <c r="O36" s="66">
        <v>23.57</v>
      </c>
      <c r="P36" s="66">
        <v>12.52</v>
      </c>
      <c r="Q36" s="6">
        <v>0</v>
      </c>
    </row>
    <row r="37" spans="1:29" ht="15.75" customHeight="1" x14ac:dyDescent="0.25">
      <c r="A37" s="5">
        <v>36</v>
      </c>
      <c r="B37" s="5">
        <v>0</v>
      </c>
      <c r="C37" s="8">
        <v>6</v>
      </c>
      <c r="D37" s="8">
        <v>6</v>
      </c>
      <c r="E37" s="8">
        <v>57</v>
      </c>
      <c r="F37" s="8">
        <v>6.4</v>
      </c>
      <c r="G37" s="8">
        <v>3</v>
      </c>
      <c r="H37" s="8">
        <v>3.08</v>
      </c>
      <c r="I37" s="8">
        <f>(0.145*10^6*4)/(1.56*10^5*0.1)</f>
        <v>37.179487179487182</v>
      </c>
      <c r="J37" s="8">
        <v>250</v>
      </c>
      <c r="K37" s="8">
        <v>0.247</v>
      </c>
      <c r="L37" s="66">
        <v>14.92</v>
      </c>
      <c r="M37" s="66">
        <v>16.940000000000001</v>
      </c>
      <c r="N37" s="66">
        <v>27.66</v>
      </c>
      <c r="O37" s="66">
        <v>15.87</v>
      </c>
      <c r="P37" s="66">
        <v>24.61</v>
      </c>
      <c r="Q37" s="5">
        <v>2</v>
      </c>
    </row>
    <row r="38" spans="1:29" ht="15.75" customHeight="1" x14ac:dyDescent="0.25">
      <c r="A38" s="5">
        <v>37</v>
      </c>
      <c r="B38" s="5">
        <v>0</v>
      </c>
      <c r="C38" s="8">
        <v>1.6</v>
      </c>
      <c r="D38" s="8">
        <v>5.2</v>
      </c>
      <c r="E38" s="8">
        <v>65</v>
      </c>
      <c r="F38" s="8">
        <v>4.2</v>
      </c>
      <c r="G38" s="8">
        <v>6.26</v>
      </c>
      <c r="H38" s="8">
        <v>3.08</v>
      </c>
      <c r="I38" s="8">
        <v>23.076923076923102</v>
      </c>
      <c r="J38" s="8">
        <v>240</v>
      </c>
      <c r="K38" s="8">
        <v>0.25600000000000001</v>
      </c>
      <c r="L38" s="66">
        <v>21.924699999999998</v>
      </c>
      <c r="M38" s="66">
        <v>25.543700000000005</v>
      </c>
      <c r="N38" s="66">
        <v>30.888199999999998</v>
      </c>
      <c r="O38" s="66">
        <v>17.4923</v>
      </c>
      <c r="P38" s="66">
        <v>14.960399999999998</v>
      </c>
      <c r="Q38" s="6">
        <v>3</v>
      </c>
    </row>
    <row r="39" spans="1:29" ht="15.75" customHeight="1" x14ac:dyDescent="0.25">
      <c r="A39" s="5">
        <v>38</v>
      </c>
      <c r="B39" s="5">
        <v>1</v>
      </c>
      <c r="C39" s="8">
        <v>2</v>
      </c>
      <c r="D39" s="8">
        <v>4.5999999999999996</v>
      </c>
      <c r="E39" s="8">
        <v>59</v>
      </c>
      <c r="F39" s="8">
        <v>5.6</v>
      </c>
      <c r="G39" s="8">
        <v>4.3</v>
      </c>
      <c r="H39" s="8">
        <v>1.53</v>
      </c>
      <c r="I39" s="8">
        <v>25.6410256410256</v>
      </c>
      <c r="J39" s="8">
        <v>240</v>
      </c>
      <c r="K39" s="8">
        <v>0.63100000000000001</v>
      </c>
      <c r="L39" s="66">
        <v>33.32</v>
      </c>
      <c r="M39" s="66">
        <v>29.130000000000003</v>
      </c>
      <c r="N39" s="66">
        <v>44</v>
      </c>
      <c r="O39" s="66">
        <v>23.69</v>
      </c>
      <c r="P39" s="66">
        <v>19.809999999999999</v>
      </c>
      <c r="Q39" s="6">
        <v>0</v>
      </c>
    </row>
    <row r="40" spans="1:29" s="4" customFormat="1" ht="15.75" customHeight="1" x14ac:dyDescent="0.25">
      <c r="A40" s="5">
        <v>39</v>
      </c>
      <c r="B40" s="5">
        <v>0</v>
      </c>
      <c r="C40" s="8">
        <v>6</v>
      </c>
      <c r="D40" s="8">
        <v>6</v>
      </c>
      <c r="E40" s="8">
        <v>73</v>
      </c>
      <c r="F40" s="8">
        <v>8.9</v>
      </c>
      <c r="G40" s="8">
        <v>7.6</v>
      </c>
      <c r="H40" s="8">
        <v>2.56</v>
      </c>
      <c r="I40" s="8">
        <v>21.794871794871799</v>
      </c>
      <c r="J40" s="8">
        <v>290</v>
      </c>
      <c r="K40" s="8">
        <v>0.28100000000000003</v>
      </c>
      <c r="L40" s="65">
        <v>9.89</v>
      </c>
      <c r="M40" s="65">
        <v>20.58</v>
      </c>
      <c r="N40" s="65">
        <v>31.21</v>
      </c>
      <c r="O40" s="65">
        <v>14.38</v>
      </c>
      <c r="P40" s="65">
        <v>23.94</v>
      </c>
      <c r="Q40" s="6">
        <v>3</v>
      </c>
      <c r="S40"/>
      <c r="T40"/>
      <c r="U40"/>
      <c r="V40"/>
      <c r="W40"/>
    </row>
    <row r="41" spans="1:29" s="4" customFormat="1" ht="15.75" customHeight="1" x14ac:dyDescent="0.25">
      <c r="A41" s="5">
        <v>40</v>
      </c>
      <c r="B41" s="5">
        <v>0</v>
      </c>
      <c r="C41" s="8">
        <v>6</v>
      </c>
      <c r="D41" s="8">
        <v>6</v>
      </c>
      <c r="E41" s="8">
        <v>73</v>
      </c>
      <c r="F41" s="8">
        <v>8.9</v>
      </c>
      <c r="G41" s="8">
        <v>6.26</v>
      </c>
      <c r="H41" s="8">
        <v>4.0999999999999996</v>
      </c>
      <c r="I41" s="8">
        <v>25.6410256410256</v>
      </c>
      <c r="J41" s="8">
        <v>170</v>
      </c>
      <c r="K41" s="8">
        <v>0.189</v>
      </c>
      <c r="L41" s="65">
        <v>14.4</v>
      </c>
      <c r="M41" s="65">
        <v>28.35</v>
      </c>
      <c r="N41" s="65">
        <v>27.68</v>
      </c>
      <c r="O41" s="65">
        <v>11.54</v>
      </c>
      <c r="P41" s="65">
        <v>18.03</v>
      </c>
      <c r="Q41" s="6">
        <v>3</v>
      </c>
      <c r="S41"/>
      <c r="T41"/>
      <c r="U41"/>
      <c r="V41"/>
      <c r="W41"/>
    </row>
    <row r="42" spans="1:29" ht="15.75" customHeight="1" x14ac:dyDescent="0.25">
      <c r="A42" s="5">
        <v>41</v>
      </c>
      <c r="B42" s="5">
        <v>0</v>
      </c>
      <c r="C42" s="8">
        <v>1.2</v>
      </c>
      <c r="D42" s="8">
        <v>5.3</v>
      </c>
      <c r="E42" s="8">
        <v>77.8</v>
      </c>
      <c r="F42" s="8">
        <v>4.9000000000000004</v>
      </c>
      <c r="G42" s="8">
        <v>4.0999999999999996</v>
      </c>
      <c r="H42" s="8">
        <v>1.53</v>
      </c>
      <c r="I42" s="8">
        <v>23.076923076923102</v>
      </c>
      <c r="J42" s="8">
        <v>190</v>
      </c>
      <c r="K42" s="8">
        <v>0.27200000000000002</v>
      </c>
      <c r="L42" s="66">
        <v>25.85</v>
      </c>
      <c r="M42" s="66">
        <v>34.620000000000005</v>
      </c>
      <c r="N42" s="66">
        <v>60.54</v>
      </c>
      <c r="O42" s="66">
        <v>23.259999999999998</v>
      </c>
      <c r="P42" s="66">
        <v>16.18</v>
      </c>
      <c r="Q42" s="6">
        <v>0</v>
      </c>
    </row>
    <row r="43" spans="1:29" ht="15.75" customHeight="1" x14ac:dyDescent="0.25">
      <c r="A43" s="5">
        <v>42</v>
      </c>
      <c r="B43" s="5">
        <v>0</v>
      </c>
      <c r="C43" s="8">
        <v>2</v>
      </c>
      <c r="D43" s="8">
        <v>5.8</v>
      </c>
      <c r="E43" s="8">
        <v>77</v>
      </c>
      <c r="F43" s="8">
        <v>7.7</v>
      </c>
      <c r="G43" s="8">
        <v>5.3</v>
      </c>
      <c r="H43" s="8">
        <v>2.56</v>
      </c>
      <c r="I43" s="8">
        <v>30.769230769230798</v>
      </c>
      <c r="J43" s="8">
        <v>230</v>
      </c>
      <c r="K43" s="8">
        <v>0.19700000000000001</v>
      </c>
      <c r="L43" s="66">
        <v>29.73</v>
      </c>
      <c r="M43" s="66">
        <v>33.69</v>
      </c>
      <c r="N43" s="66">
        <v>45.05</v>
      </c>
      <c r="O43" s="66">
        <v>23.64</v>
      </c>
      <c r="P43" s="66">
        <v>15.43</v>
      </c>
      <c r="Q43" s="6">
        <v>0</v>
      </c>
    </row>
    <row r="44" spans="1:29" ht="15.75" customHeight="1" x14ac:dyDescent="0.25">
      <c r="A44" s="5">
        <v>43</v>
      </c>
      <c r="B44" s="5">
        <v>0</v>
      </c>
      <c r="C44" s="8">
        <v>6.8</v>
      </c>
      <c r="D44" s="8">
        <v>9.3000000000000007</v>
      </c>
      <c r="E44" s="8">
        <v>60</v>
      </c>
      <c r="F44" s="8">
        <v>14.7</v>
      </c>
      <c r="G44" s="8">
        <v>2</v>
      </c>
      <c r="H44" s="8">
        <v>1.53</v>
      </c>
      <c r="I44" s="8">
        <f>(0.1*10^6*4)/(1.56*10^5*0.1)</f>
        <v>25.641025641025642</v>
      </c>
      <c r="J44" s="8">
        <v>301.8</v>
      </c>
      <c r="K44" s="8">
        <v>0.28899999999999998</v>
      </c>
      <c r="L44" s="66">
        <v>37.855000000000004</v>
      </c>
      <c r="M44" s="66">
        <v>37.445</v>
      </c>
      <c r="N44" s="66">
        <v>36.895000000000003</v>
      </c>
      <c r="O44" s="66">
        <v>18.594999999999999</v>
      </c>
      <c r="P44" s="66">
        <v>19.21</v>
      </c>
      <c r="Q44" s="5">
        <v>2</v>
      </c>
    </row>
    <row r="45" spans="1:29" ht="15.75" customHeight="1" x14ac:dyDescent="0.25">
      <c r="A45" s="5">
        <v>44</v>
      </c>
      <c r="B45" s="5">
        <v>1</v>
      </c>
      <c r="C45" s="8">
        <v>10</v>
      </c>
      <c r="D45" s="8">
        <v>4.7</v>
      </c>
      <c r="E45" s="8">
        <v>52</v>
      </c>
      <c r="F45" s="8">
        <v>12.2</v>
      </c>
      <c r="G45" s="8">
        <v>3</v>
      </c>
      <c r="H45" s="8">
        <v>1.03</v>
      </c>
      <c r="I45" s="8">
        <f>(0.14*10^6*4)/(1.56*10^5*0.1)</f>
        <v>35.897435897435898</v>
      </c>
      <c r="J45" s="8">
        <v>446.53</v>
      </c>
      <c r="K45" s="8">
        <v>0.247</v>
      </c>
      <c r="L45" s="66">
        <v>37.51</v>
      </c>
      <c r="M45" s="66">
        <v>36.475000000000001</v>
      </c>
      <c r="N45" s="66">
        <v>45.774999999999999</v>
      </c>
      <c r="O45" s="66">
        <v>18.12</v>
      </c>
      <c r="P45" s="66">
        <v>12.125</v>
      </c>
      <c r="Q45" s="5">
        <v>2</v>
      </c>
    </row>
    <row r="46" spans="1:29" ht="15.75" customHeight="1" x14ac:dyDescent="0.25">
      <c r="A46" s="5">
        <v>45</v>
      </c>
      <c r="B46" s="5">
        <v>0</v>
      </c>
      <c r="C46" s="8">
        <v>0.8</v>
      </c>
      <c r="D46" s="8">
        <v>5.3</v>
      </c>
      <c r="E46" s="8">
        <v>75.2</v>
      </c>
      <c r="F46" s="8">
        <v>4.2</v>
      </c>
      <c r="G46" s="8">
        <v>4.0999999999999996</v>
      </c>
      <c r="H46" s="8">
        <v>1.53</v>
      </c>
      <c r="I46" s="8">
        <v>25.6410256410256</v>
      </c>
      <c r="J46" s="8">
        <v>220</v>
      </c>
      <c r="K46" s="8">
        <v>0.17499999999999999</v>
      </c>
      <c r="L46" s="66">
        <v>29.07</v>
      </c>
      <c r="M46" s="66">
        <v>33.880000000000003</v>
      </c>
      <c r="N46" s="66">
        <v>43.010000000000005</v>
      </c>
      <c r="O46" s="66">
        <v>27.07</v>
      </c>
      <c r="P46" s="66">
        <v>16.920000000000002</v>
      </c>
      <c r="Q46" s="6">
        <v>0</v>
      </c>
    </row>
    <row r="47" spans="1:29" ht="15.75" customHeight="1" x14ac:dyDescent="0.25">
      <c r="A47" s="5">
        <v>46</v>
      </c>
      <c r="B47" s="5">
        <v>1</v>
      </c>
      <c r="C47" s="8">
        <v>6</v>
      </c>
      <c r="D47" s="8">
        <v>8</v>
      </c>
      <c r="E47" s="8">
        <v>36.299999999999997</v>
      </c>
      <c r="F47" s="8">
        <v>7.7</v>
      </c>
      <c r="G47" s="8">
        <v>3</v>
      </c>
      <c r="H47" s="8">
        <v>1.53</v>
      </c>
      <c r="I47" s="8">
        <f>(0.1*10^6*4)/(1.56*10^5*0.1)</f>
        <v>25.641025641025642</v>
      </c>
      <c r="J47" s="8">
        <v>488.95</v>
      </c>
      <c r="K47" s="8">
        <v>0.31900000000000001</v>
      </c>
      <c r="L47" s="66">
        <v>25.21</v>
      </c>
      <c r="M47" s="66">
        <v>38.545000000000002</v>
      </c>
      <c r="N47" s="66">
        <v>48.019999999999996</v>
      </c>
      <c r="O47" s="66">
        <v>24.54</v>
      </c>
      <c r="P47" s="66">
        <v>13.685</v>
      </c>
      <c r="Q47" s="5">
        <v>2</v>
      </c>
    </row>
    <row r="48" spans="1:29" ht="15.75" customHeight="1" x14ac:dyDescent="0.25">
      <c r="A48" s="5">
        <v>47</v>
      </c>
      <c r="B48" s="5">
        <v>1</v>
      </c>
      <c r="C48" s="8">
        <v>9.6</v>
      </c>
      <c r="D48" s="8">
        <v>8.6999999999999993</v>
      </c>
      <c r="E48" s="8">
        <v>41.5</v>
      </c>
      <c r="F48" s="8">
        <v>11.5</v>
      </c>
      <c r="G48" s="8">
        <v>3.8</v>
      </c>
      <c r="H48" s="8">
        <v>0.51</v>
      </c>
      <c r="I48" s="8">
        <f>(0.11*10^6*4)/(1.56*10^5*0.1)</f>
        <v>28.205128205128204</v>
      </c>
      <c r="J48" s="8">
        <v>125.6</v>
      </c>
      <c r="K48" s="8">
        <v>0.51100000000000001</v>
      </c>
      <c r="L48" s="66">
        <v>41.664999999999999</v>
      </c>
      <c r="M48" s="66">
        <v>29.95</v>
      </c>
      <c r="N48" s="66">
        <v>35.840000000000003</v>
      </c>
      <c r="O48" s="66">
        <v>22.754999999999999</v>
      </c>
      <c r="P48" s="66">
        <v>19.79</v>
      </c>
      <c r="Q48" s="5">
        <v>2</v>
      </c>
    </row>
    <row r="49" spans="1:17" ht="15.75" customHeight="1" x14ac:dyDescent="0.25">
      <c r="A49" s="5">
        <v>48</v>
      </c>
      <c r="B49" s="5">
        <v>0</v>
      </c>
      <c r="C49" s="8">
        <v>8</v>
      </c>
      <c r="D49" s="8">
        <v>6</v>
      </c>
      <c r="E49" s="8">
        <v>62.2</v>
      </c>
      <c r="F49" s="8">
        <v>7.7</v>
      </c>
      <c r="G49" s="8">
        <v>3</v>
      </c>
      <c r="H49" s="8">
        <v>2.56</v>
      </c>
      <c r="I49" s="8">
        <f>(0.13*10^6*4)/(1.56*10^5*0.1)</f>
        <v>33.333333333333336</v>
      </c>
      <c r="J49" s="8">
        <v>230</v>
      </c>
      <c r="K49" s="8">
        <v>0.189</v>
      </c>
      <c r="L49" s="66">
        <v>16.57</v>
      </c>
      <c r="M49" s="66">
        <v>15.78</v>
      </c>
      <c r="N49" s="66">
        <v>20.72</v>
      </c>
      <c r="O49" s="66">
        <v>12.09</v>
      </c>
      <c r="P49" s="66">
        <v>34.840000000000003</v>
      </c>
      <c r="Q49" s="5">
        <v>2</v>
      </c>
    </row>
    <row r="50" spans="1:17" ht="15.75" customHeight="1" x14ac:dyDescent="0.25">
      <c r="A50" s="5">
        <v>49</v>
      </c>
      <c r="B50" s="5">
        <v>0</v>
      </c>
      <c r="C50" s="8">
        <v>7.6</v>
      </c>
      <c r="D50" s="8">
        <v>4.7</v>
      </c>
      <c r="E50" s="8">
        <v>65</v>
      </c>
      <c r="F50" s="8">
        <v>10.9</v>
      </c>
      <c r="G50" s="8">
        <v>2</v>
      </c>
      <c r="H50" s="8">
        <v>3.58</v>
      </c>
      <c r="I50" s="8">
        <f>(0.1*10^6*4)/(1.56*10^5*0.1)</f>
        <v>25.641025641025642</v>
      </c>
      <c r="J50" s="8">
        <v>404.13</v>
      </c>
      <c r="K50" s="8">
        <v>0.370714285714286</v>
      </c>
      <c r="L50" s="66">
        <v>28.11</v>
      </c>
      <c r="M50" s="66">
        <v>29.11</v>
      </c>
      <c r="N50" s="66">
        <v>58.91</v>
      </c>
      <c r="O50" s="66">
        <v>18.2</v>
      </c>
      <c r="P50" s="66">
        <v>16.84</v>
      </c>
      <c r="Q50" s="5">
        <v>2</v>
      </c>
    </row>
    <row r="51" spans="1:17" ht="15.75" customHeight="1" x14ac:dyDescent="0.25">
      <c r="A51" s="5">
        <v>50</v>
      </c>
      <c r="B51" s="5">
        <v>0</v>
      </c>
      <c r="C51" s="8">
        <v>1.2</v>
      </c>
      <c r="D51" s="8">
        <v>5.3</v>
      </c>
      <c r="E51" s="8">
        <v>77.8</v>
      </c>
      <c r="F51" s="8">
        <v>4.2</v>
      </c>
      <c r="G51" s="8">
        <v>3.6</v>
      </c>
      <c r="H51" s="8">
        <v>1.53</v>
      </c>
      <c r="I51" s="8">
        <v>20.5128205128205</v>
      </c>
      <c r="J51" s="8">
        <v>290</v>
      </c>
      <c r="K51" s="8">
        <v>0.18099999999999999</v>
      </c>
      <c r="L51" s="66">
        <v>29.5</v>
      </c>
      <c r="M51" s="66">
        <v>38.630000000000003</v>
      </c>
      <c r="N51" s="66">
        <v>41.56</v>
      </c>
      <c r="O51" s="66">
        <v>27.490000000000002</v>
      </c>
      <c r="P51" s="66">
        <v>12.67</v>
      </c>
      <c r="Q51" s="6">
        <v>0</v>
      </c>
    </row>
    <row r="52" spans="1:17" ht="15.75" customHeight="1" x14ac:dyDescent="0.25">
      <c r="A52" s="5">
        <v>51</v>
      </c>
      <c r="B52" s="5">
        <v>0</v>
      </c>
      <c r="C52" s="8">
        <v>0.8</v>
      </c>
      <c r="D52" s="8">
        <v>5.4</v>
      </c>
      <c r="E52" s="8">
        <v>74</v>
      </c>
      <c r="F52" s="8">
        <v>6.7</v>
      </c>
      <c r="G52" s="8">
        <v>3.3</v>
      </c>
      <c r="H52" s="8">
        <v>1.53</v>
      </c>
      <c r="I52" s="8">
        <v>30.769230769230798</v>
      </c>
      <c r="J52" s="8">
        <v>235.416666666667</v>
      </c>
      <c r="K52" s="8">
        <v>0.22800000000000001</v>
      </c>
      <c r="L52" s="66">
        <v>29.73</v>
      </c>
      <c r="M52" s="66">
        <v>33.69</v>
      </c>
      <c r="N52" s="66">
        <v>45.05</v>
      </c>
      <c r="O52" s="66">
        <v>23.64</v>
      </c>
      <c r="P52" s="66">
        <v>15.43</v>
      </c>
      <c r="Q52" s="5">
        <v>0</v>
      </c>
    </row>
    <row r="53" spans="1:17" ht="15.75" customHeight="1" x14ac:dyDescent="0.25">
      <c r="A53" s="5">
        <v>52</v>
      </c>
      <c r="B53" s="5">
        <v>0</v>
      </c>
      <c r="C53" s="8">
        <v>5.2</v>
      </c>
      <c r="D53" s="8">
        <v>8</v>
      </c>
      <c r="E53" s="8">
        <v>41.5</v>
      </c>
      <c r="F53" s="8">
        <v>8.9</v>
      </c>
      <c r="G53" s="8">
        <v>2.6</v>
      </c>
      <c r="H53" s="8">
        <v>1.53</v>
      </c>
      <c r="I53" s="8">
        <f>(0.13*10^6*4)/(1.56*10^5*0.1)</f>
        <v>33.333333333333336</v>
      </c>
      <c r="J53" s="8">
        <v>373.44</v>
      </c>
      <c r="K53" s="8">
        <v>0.29699999999999999</v>
      </c>
      <c r="L53" s="66">
        <v>36.894999999999996</v>
      </c>
      <c r="M53" s="66">
        <v>33.799999999999997</v>
      </c>
      <c r="N53" s="66">
        <v>50.57</v>
      </c>
      <c r="O53" s="66">
        <v>25.284999999999997</v>
      </c>
      <c r="P53" s="66">
        <v>11.649999999999999</v>
      </c>
      <c r="Q53" s="5">
        <v>2</v>
      </c>
    </row>
    <row r="54" spans="1:17" ht="15.75" customHeight="1" x14ac:dyDescent="0.25">
      <c r="A54" s="5">
        <v>53</v>
      </c>
      <c r="B54" s="5">
        <v>0</v>
      </c>
      <c r="C54" s="8">
        <v>6.8</v>
      </c>
      <c r="D54" s="8">
        <v>6</v>
      </c>
      <c r="E54" s="8">
        <v>47</v>
      </c>
      <c r="F54" s="8">
        <v>7.7</v>
      </c>
      <c r="G54" s="8">
        <v>5</v>
      </c>
      <c r="H54" s="8">
        <v>3.08</v>
      </c>
      <c r="I54" s="8">
        <f>(0.12*10^6*4)/(1.56*10^5*0.1)</f>
        <v>30.76923076923077</v>
      </c>
      <c r="J54" s="8">
        <v>314.51</v>
      </c>
      <c r="K54" s="8">
        <v>0.217</v>
      </c>
      <c r="L54" s="66">
        <v>28.004999999999999</v>
      </c>
      <c r="M54" s="66">
        <v>27.684999999999999</v>
      </c>
      <c r="N54" s="66">
        <v>31.520000000000003</v>
      </c>
      <c r="O54" s="66">
        <v>28.405000000000001</v>
      </c>
      <c r="P54" s="66">
        <v>34.385000000000005</v>
      </c>
      <c r="Q54" s="5">
        <v>1</v>
      </c>
    </row>
    <row r="55" spans="1:17" ht="15.75" customHeight="1" x14ac:dyDescent="0.25">
      <c r="A55" s="5">
        <v>54</v>
      </c>
      <c r="B55" s="5">
        <v>0</v>
      </c>
      <c r="C55" s="8">
        <v>6</v>
      </c>
      <c r="D55" s="8">
        <v>4.8</v>
      </c>
      <c r="E55" s="8">
        <v>60</v>
      </c>
      <c r="F55" s="8">
        <v>5.6</v>
      </c>
      <c r="G55" s="8">
        <v>5.5</v>
      </c>
      <c r="H55" s="8">
        <v>2.0499999999999998</v>
      </c>
      <c r="I55" s="8">
        <f>(0.11*10^6*4)/(1.56*10^5*0.1)</f>
        <v>28.205128205128204</v>
      </c>
      <c r="J55" s="8">
        <v>435.16</v>
      </c>
      <c r="K55" s="8">
        <v>0.29199999999999998</v>
      </c>
      <c r="L55" s="66">
        <v>28.12</v>
      </c>
      <c r="M55" s="66">
        <v>28.145000000000003</v>
      </c>
      <c r="N55" s="66">
        <v>34.185000000000002</v>
      </c>
      <c r="O55" s="66">
        <v>30.395</v>
      </c>
      <c r="P55" s="66">
        <v>29.16</v>
      </c>
      <c r="Q55" s="5">
        <v>1</v>
      </c>
    </row>
    <row r="56" spans="1:17" ht="15.75" customHeight="1" x14ac:dyDescent="0.25">
      <c r="A56" s="5">
        <v>55</v>
      </c>
      <c r="B56" s="5">
        <v>1</v>
      </c>
      <c r="C56" s="8">
        <v>11.6</v>
      </c>
      <c r="D56" s="8">
        <v>6.7</v>
      </c>
      <c r="E56" s="8">
        <v>65</v>
      </c>
      <c r="F56" s="8">
        <v>12.8</v>
      </c>
      <c r="G56" s="8">
        <v>4.25</v>
      </c>
      <c r="H56" s="8">
        <v>2.0499999999999998</v>
      </c>
      <c r="I56" s="8">
        <f>(0.14*10^6*4)/(1.56*10^5*0.1)</f>
        <v>35.897435897435898</v>
      </c>
      <c r="J56" s="8">
        <v>595.91999999999996</v>
      </c>
      <c r="K56" s="8">
        <v>1.044</v>
      </c>
      <c r="L56" s="66">
        <v>22.509999999999998</v>
      </c>
      <c r="M56" s="66">
        <v>27.33</v>
      </c>
      <c r="N56" s="66">
        <v>45.664999999999999</v>
      </c>
      <c r="O56" s="66">
        <v>31.745000000000001</v>
      </c>
      <c r="P56" s="66">
        <v>22.745000000000001</v>
      </c>
      <c r="Q56" s="5">
        <v>1</v>
      </c>
    </row>
    <row r="57" spans="1:17" ht="15.75" customHeight="1" x14ac:dyDescent="0.25">
      <c r="A57" s="5">
        <v>56</v>
      </c>
      <c r="B57" s="5">
        <v>0</v>
      </c>
      <c r="C57" s="8">
        <v>4.8</v>
      </c>
      <c r="D57" s="8">
        <v>8</v>
      </c>
      <c r="E57" s="8">
        <v>47</v>
      </c>
      <c r="F57" s="8">
        <v>7.7</v>
      </c>
      <c r="G57" s="8">
        <v>7.8</v>
      </c>
      <c r="H57" s="8">
        <v>2.0499999999999998</v>
      </c>
      <c r="I57" s="8">
        <v>28.205128205128201</v>
      </c>
      <c r="J57" s="8">
        <v>150</v>
      </c>
      <c r="K57" s="8">
        <v>0.15</v>
      </c>
      <c r="L57" s="66">
        <v>20.010000000000002</v>
      </c>
      <c r="M57" s="66">
        <v>19.72</v>
      </c>
      <c r="N57" s="66">
        <v>26.32</v>
      </c>
      <c r="O57" s="66">
        <v>12.87</v>
      </c>
      <c r="P57" s="66">
        <v>21.08</v>
      </c>
      <c r="Q57" s="6">
        <v>3</v>
      </c>
    </row>
    <row r="58" spans="1:17" ht="15.75" customHeight="1" x14ac:dyDescent="0.25">
      <c r="A58" s="5">
        <v>57</v>
      </c>
      <c r="B58" s="5">
        <v>0</v>
      </c>
      <c r="C58" s="8">
        <v>2</v>
      </c>
      <c r="D58" s="8">
        <v>5.3</v>
      </c>
      <c r="E58" s="8">
        <v>75.2</v>
      </c>
      <c r="F58" s="8">
        <v>4.9000000000000004</v>
      </c>
      <c r="G58" s="8">
        <v>5.8</v>
      </c>
      <c r="H58" s="8">
        <v>1.03</v>
      </c>
      <c r="I58" s="8">
        <v>29.4871794871795</v>
      </c>
      <c r="J58" s="8">
        <v>270</v>
      </c>
      <c r="K58" s="8">
        <v>0.21099999999999999</v>
      </c>
      <c r="L58" s="66">
        <v>32.230000000000004</v>
      </c>
      <c r="M58" s="66">
        <v>24.439999999999998</v>
      </c>
      <c r="N58" s="66">
        <v>47.379999999999995</v>
      </c>
      <c r="O58" s="66">
        <v>29.8</v>
      </c>
      <c r="P58" s="66">
        <v>16.150000000000002</v>
      </c>
      <c r="Q58" s="6">
        <v>0</v>
      </c>
    </row>
    <row r="59" spans="1:17" ht="15.75" customHeight="1" x14ac:dyDescent="0.25">
      <c r="A59" s="5">
        <v>58</v>
      </c>
      <c r="B59" s="5">
        <v>1</v>
      </c>
      <c r="C59" s="8">
        <v>6</v>
      </c>
      <c r="D59" s="8">
        <v>4.8</v>
      </c>
      <c r="E59" s="8">
        <v>60</v>
      </c>
      <c r="F59" s="8">
        <v>5.6</v>
      </c>
      <c r="G59" s="8">
        <v>5.5</v>
      </c>
      <c r="H59" s="8">
        <v>1.03</v>
      </c>
      <c r="I59" s="8">
        <f>(0.11*10^6*4)/(1.56*10^5*0.1)</f>
        <v>28.205128205128204</v>
      </c>
      <c r="J59" s="8">
        <v>435.16</v>
      </c>
      <c r="K59" s="8">
        <v>0.29199999999999998</v>
      </c>
      <c r="L59" s="66">
        <v>20.015000000000001</v>
      </c>
      <c r="M59" s="66">
        <v>33.524999999999999</v>
      </c>
      <c r="N59" s="66">
        <v>47.094999999999999</v>
      </c>
      <c r="O59" s="66">
        <v>25.490000000000002</v>
      </c>
      <c r="P59" s="66">
        <v>23.880000000000003</v>
      </c>
      <c r="Q59" s="5">
        <v>1</v>
      </c>
    </row>
    <row r="60" spans="1:17" ht="15.75" customHeight="1" x14ac:dyDescent="0.25">
      <c r="A60" s="5">
        <v>59</v>
      </c>
      <c r="B60" s="5">
        <v>0</v>
      </c>
      <c r="C60" s="8">
        <v>0.8</v>
      </c>
      <c r="D60" s="8">
        <v>4.5999999999999996</v>
      </c>
      <c r="E60" s="8">
        <v>77</v>
      </c>
      <c r="F60" s="8">
        <v>6.7</v>
      </c>
      <c r="G60" s="8">
        <v>3.8</v>
      </c>
      <c r="H60" s="8">
        <v>1.53</v>
      </c>
      <c r="I60" s="8">
        <v>33.3333333333333</v>
      </c>
      <c r="J60" s="8">
        <v>235.416666666667</v>
      </c>
      <c r="K60" s="8">
        <v>0.18099999999999999</v>
      </c>
      <c r="L60" s="66">
        <v>29.73</v>
      </c>
      <c r="M60" s="66">
        <v>33.69</v>
      </c>
      <c r="N60" s="66">
        <v>45.05</v>
      </c>
      <c r="O60" s="66">
        <v>23.64</v>
      </c>
      <c r="P60" s="66">
        <v>15.43</v>
      </c>
      <c r="Q60" s="6">
        <v>0</v>
      </c>
    </row>
    <row r="61" spans="1:17" ht="15.75" customHeight="1" x14ac:dyDescent="0.25">
      <c r="A61" s="5">
        <v>60</v>
      </c>
      <c r="B61" s="5">
        <v>0</v>
      </c>
      <c r="C61" s="8">
        <v>11.2</v>
      </c>
      <c r="D61" s="8">
        <v>8</v>
      </c>
      <c r="E61" s="8">
        <v>62.2</v>
      </c>
      <c r="F61" s="8">
        <v>6.4</v>
      </c>
      <c r="G61" s="8">
        <v>1.5</v>
      </c>
      <c r="H61" s="8">
        <v>1.03</v>
      </c>
      <c r="I61" s="8">
        <f>(0.12*10^6*4)/(1.56*10^5*0.1)</f>
        <v>30.76923076923077</v>
      </c>
      <c r="J61" s="8">
        <v>560.9</v>
      </c>
      <c r="K61" s="8">
        <v>0.26100000000000001</v>
      </c>
      <c r="L61" s="66">
        <v>20.81</v>
      </c>
      <c r="M61" s="66">
        <v>29.79</v>
      </c>
      <c r="N61" s="66">
        <v>38.215000000000003</v>
      </c>
      <c r="O61" s="66">
        <v>29.335000000000001</v>
      </c>
      <c r="P61" s="66">
        <v>31.85</v>
      </c>
      <c r="Q61" s="5">
        <v>1</v>
      </c>
    </row>
    <row r="62" spans="1:17" ht="15.75" customHeight="1" x14ac:dyDescent="0.25">
      <c r="A62" s="5">
        <v>61</v>
      </c>
      <c r="B62" s="5">
        <v>1</v>
      </c>
      <c r="C62" s="8">
        <v>9.6</v>
      </c>
      <c r="D62" s="8">
        <v>9.3000000000000007</v>
      </c>
      <c r="E62" s="8">
        <v>75.2</v>
      </c>
      <c r="F62" s="8">
        <v>10.9</v>
      </c>
      <c r="G62" s="8">
        <v>3.8</v>
      </c>
      <c r="H62" s="8">
        <v>1.53</v>
      </c>
      <c r="I62" s="8">
        <f>(0.1*10^6*4)/(1.56*10^5*0.1)</f>
        <v>25.641025641025642</v>
      </c>
      <c r="J62" s="8">
        <v>222.42</v>
      </c>
      <c r="K62" s="8">
        <v>0.34200000000000003</v>
      </c>
      <c r="L62" s="66">
        <v>23.38</v>
      </c>
      <c r="M62" s="66">
        <v>33.145000000000003</v>
      </c>
      <c r="N62" s="66">
        <v>40.49</v>
      </c>
      <c r="O62" s="66">
        <v>27.865000000000002</v>
      </c>
      <c r="P62" s="66">
        <v>24.67</v>
      </c>
      <c r="Q62" s="5">
        <v>1</v>
      </c>
    </row>
    <row r="63" spans="1:17" ht="15.75" customHeight="1" x14ac:dyDescent="0.25">
      <c r="A63" s="5">
        <v>62</v>
      </c>
      <c r="B63" s="5">
        <v>1</v>
      </c>
      <c r="C63" s="8">
        <v>10</v>
      </c>
      <c r="D63" s="8">
        <v>6</v>
      </c>
      <c r="E63" s="8">
        <v>65</v>
      </c>
      <c r="F63" s="8">
        <v>8.9</v>
      </c>
      <c r="G63" s="8">
        <v>7.3</v>
      </c>
      <c r="H63" s="8">
        <v>1.03</v>
      </c>
      <c r="I63" s="8">
        <f>(0.13*10^6*4)/(1.56*10^5*0.1)</f>
        <v>33.333333333333336</v>
      </c>
      <c r="J63" s="8">
        <v>467.94</v>
      </c>
      <c r="K63" s="8">
        <v>0.25600000000000001</v>
      </c>
      <c r="L63" s="66">
        <v>21.044999999999998</v>
      </c>
      <c r="M63" s="66">
        <v>33.839999999999996</v>
      </c>
      <c r="N63" s="66">
        <v>47.839999999999996</v>
      </c>
      <c r="O63" s="66">
        <v>30.57</v>
      </c>
      <c r="P63" s="66">
        <v>16.715</v>
      </c>
      <c r="Q63" s="5">
        <v>1</v>
      </c>
    </row>
    <row r="64" spans="1:17" ht="15.75" customHeight="1" x14ac:dyDescent="0.25">
      <c r="A64" s="2"/>
    </row>
    <row r="65" spans="9:11" ht="15.75" customHeight="1" x14ac:dyDescent="0.25">
      <c r="I65" s="5"/>
      <c r="J65" s="1"/>
      <c r="K65" s="5"/>
    </row>
    <row r="66" spans="9:11" ht="15.75" customHeight="1" x14ac:dyDescent="0.25">
      <c r="I66" s="4"/>
      <c r="J66" s="5"/>
      <c r="K66" s="5"/>
    </row>
    <row r="67" spans="9:11" ht="15.75" customHeight="1" x14ac:dyDescent="0.25">
      <c r="I67" s="4"/>
      <c r="J67" s="5"/>
      <c r="K67" s="5"/>
    </row>
    <row r="68" spans="9:11" ht="15.75" customHeight="1" x14ac:dyDescent="0.25">
      <c r="I68" s="4"/>
      <c r="J68" s="5"/>
      <c r="K68" s="5"/>
    </row>
    <row r="69" spans="9:11" ht="15.75" customHeight="1" x14ac:dyDescent="0.25">
      <c r="I69" s="4"/>
      <c r="J69" s="5"/>
      <c r="K69" s="5"/>
    </row>
    <row r="70" spans="9:11" ht="15.75" customHeight="1" x14ac:dyDescent="0.25">
      <c r="I70" s="4"/>
      <c r="J70" s="5"/>
      <c r="K70" s="5"/>
    </row>
    <row r="71" spans="9:11" ht="15.75" customHeight="1" x14ac:dyDescent="0.25">
      <c r="I71" s="4"/>
      <c r="J71" s="5"/>
      <c r="K71" s="5"/>
    </row>
    <row r="72" spans="9:11" ht="15.75" customHeight="1" x14ac:dyDescent="0.25">
      <c r="I72" s="4"/>
      <c r="J72" s="5"/>
      <c r="K72" s="5"/>
    </row>
    <row r="73" spans="9:11" ht="15.75" customHeight="1" x14ac:dyDescent="0.25">
      <c r="I73" s="4"/>
      <c r="J73" s="5"/>
      <c r="K73" s="5"/>
    </row>
    <row r="74" spans="9:11" ht="15.75" customHeight="1" x14ac:dyDescent="0.25">
      <c r="I74" s="4"/>
      <c r="J74" s="5"/>
      <c r="K74" s="5"/>
    </row>
    <row r="75" spans="9:11" ht="15.75" customHeight="1" x14ac:dyDescent="0.25">
      <c r="I75" s="4"/>
      <c r="J75" s="5"/>
      <c r="K75" s="5"/>
    </row>
    <row r="76" spans="9:11" ht="15.75" customHeight="1" x14ac:dyDescent="0.25">
      <c r="I76" s="4"/>
      <c r="J76" s="5"/>
      <c r="K76" s="5"/>
    </row>
    <row r="77" spans="9:11" ht="15.75" customHeight="1" x14ac:dyDescent="0.25">
      <c r="I77" s="4"/>
      <c r="J77" s="5"/>
      <c r="K77" s="5"/>
    </row>
    <row r="78" spans="9:11" ht="15.75" customHeight="1" x14ac:dyDescent="0.25">
      <c r="I78" s="4"/>
      <c r="J78" s="5"/>
      <c r="K78" s="5"/>
    </row>
    <row r="79" spans="9:11" ht="15.75" customHeight="1" x14ac:dyDescent="0.25">
      <c r="I79" s="4"/>
      <c r="J79" s="5"/>
      <c r="K79" s="5"/>
    </row>
    <row r="80" spans="9:11" ht="15.75" customHeight="1" x14ac:dyDescent="0.25">
      <c r="I80" s="4"/>
      <c r="J80" s="5"/>
      <c r="K80" s="5"/>
    </row>
    <row r="81" spans="9:11" ht="15.75" customHeight="1" x14ac:dyDescent="0.25">
      <c r="I81" s="4"/>
      <c r="J81" s="5"/>
      <c r="K81" s="5"/>
    </row>
    <row r="82" spans="9:11" ht="15.75" customHeight="1" x14ac:dyDescent="0.25">
      <c r="I82" s="4"/>
      <c r="J82" s="5"/>
      <c r="K82" s="5"/>
    </row>
    <row r="83" spans="9:11" ht="15.75" customHeight="1" x14ac:dyDescent="0.25"/>
    <row r="84" spans="9:11" ht="15.75" customHeight="1" x14ac:dyDescent="0.25"/>
    <row r="85" spans="9:11" ht="15.75" customHeight="1" x14ac:dyDescent="0.25"/>
    <row r="86" spans="9:11" ht="15.75" customHeight="1" x14ac:dyDescent="0.25"/>
    <row r="87" spans="9:11" ht="15.75" customHeight="1" x14ac:dyDescent="0.25"/>
    <row r="88" spans="9:11" ht="15.75" customHeight="1" x14ac:dyDescent="0.25"/>
    <row r="89" spans="9:11" ht="15.75" customHeight="1" x14ac:dyDescent="0.25"/>
    <row r="90" spans="9:11" ht="15.75" customHeight="1" x14ac:dyDescent="0.25"/>
    <row r="91" spans="9:11" ht="15.75" customHeight="1" x14ac:dyDescent="0.25"/>
    <row r="92" spans="9:11" ht="15.75" customHeight="1" x14ac:dyDescent="0.25"/>
    <row r="93" spans="9:11" ht="15.75" customHeight="1" x14ac:dyDescent="0.25"/>
    <row r="94" spans="9:11" ht="15.75" customHeight="1" x14ac:dyDescent="0.25"/>
    <row r="95" spans="9:11" ht="15.75" customHeight="1" x14ac:dyDescent="0.25"/>
    <row r="96" spans="9:11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</sheetData>
  <autoFilter ref="A1:Q63"/>
  <pageMargins left="0.7" right="0.7" top="0.75" bottom="0.75" header="0.511811023622047" footer="0.511811023622047"/>
  <pageSetup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G1000"/>
  <sheetViews>
    <sheetView zoomScale="85" zoomScaleNormal="85" workbookViewId="0">
      <selection activeCell="L2" sqref="L2"/>
    </sheetView>
  </sheetViews>
  <sheetFormatPr defaultColWidth="14.42578125" defaultRowHeight="15" customHeight="1" x14ac:dyDescent="0.25"/>
  <cols>
    <col min="1" max="1" width="25.85546875" style="1" customWidth="1"/>
  </cols>
  <sheetData>
    <row r="1" spans="1:33" ht="15" customHeight="1" x14ac:dyDescent="0.25">
      <c r="A1" s="5" t="s">
        <v>2</v>
      </c>
      <c r="B1" s="5" t="s">
        <v>3</v>
      </c>
      <c r="C1" s="5" t="s">
        <v>4</v>
      </c>
      <c r="D1" s="5" t="s">
        <v>5</v>
      </c>
      <c r="E1" s="5" t="s">
        <v>6</v>
      </c>
      <c r="F1" s="5" t="s">
        <v>7</v>
      </c>
      <c r="G1" s="5" t="s">
        <v>8</v>
      </c>
      <c r="H1" s="5" t="s">
        <v>9</v>
      </c>
      <c r="I1" s="5" t="s">
        <v>10</v>
      </c>
      <c r="J1" s="5" t="s">
        <v>11</v>
      </c>
      <c r="K1" s="5" t="s">
        <v>12</v>
      </c>
    </row>
    <row r="2" spans="1:33" s="4" customFormat="1" ht="15" customHeight="1" x14ac:dyDescent="0.25">
      <c r="A2" s="5">
        <v>1</v>
      </c>
      <c r="B2" s="5">
        <v>8</v>
      </c>
      <c r="C2" s="5">
        <v>8.6999999999999993</v>
      </c>
      <c r="D2" s="5">
        <v>65</v>
      </c>
      <c r="E2" s="5">
        <v>7.7</v>
      </c>
      <c r="F2" s="5">
        <v>3</v>
      </c>
      <c r="G2" s="5">
        <v>1.03</v>
      </c>
      <c r="H2" s="8">
        <f>(0.09*10^6*4)/(1.56*10^5*0.1)</f>
        <v>23.076923076923077</v>
      </c>
      <c r="I2" s="5">
        <v>369</v>
      </c>
      <c r="J2" s="5">
        <v>0.28299999999999997</v>
      </c>
      <c r="K2" s="5">
        <v>2</v>
      </c>
      <c r="M2" s="1"/>
      <c r="N2"/>
      <c r="O2"/>
      <c r="U2" s="2"/>
      <c r="W2" s="5"/>
    </row>
    <row r="3" spans="1:33" s="4" customFormat="1" x14ac:dyDescent="0.25">
      <c r="A3" s="5">
        <v>2</v>
      </c>
      <c r="B3" s="5">
        <v>6.8</v>
      </c>
      <c r="C3" s="5">
        <v>6</v>
      </c>
      <c r="D3" s="5">
        <v>85.6</v>
      </c>
      <c r="E3" s="5">
        <v>7.7</v>
      </c>
      <c r="F3" s="5">
        <v>3</v>
      </c>
      <c r="G3" s="5">
        <v>2.0499999999999998</v>
      </c>
      <c r="H3" s="8">
        <f>(0.12*10^6*4)/(1.56*10^5*0.1)</f>
        <v>30.76923076923077</v>
      </c>
      <c r="I3" s="5">
        <v>328.9</v>
      </c>
      <c r="J3" s="5">
        <v>0.370714285714286</v>
      </c>
      <c r="K3" s="5">
        <v>2</v>
      </c>
      <c r="M3" s="1"/>
      <c r="N3" s="5"/>
      <c r="O3" s="1"/>
    </row>
    <row r="4" spans="1:33" s="4" customFormat="1" x14ac:dyDescent="0.25">
      <c r="A4" s="5">
        <v>3</v>
      </c>
      <c r="B4" s="5">
        <v>5.2</v>
      </c>
      <c r="C4" s="5">
        <v>6</v>
      </c>
      <c r="D4" s="5">
        <v>44.1</v>
      </c>
      <c r="E4" s="5">
        <v>10.9</v>
      </c>
      <c r="F4" s="5">
        <v>4.4000000000000004</v>
      </c>
      <c r="G4" s="5">
        <v>1.03</v>
      </c>
      <c r="H4" s="8">
        <f>(0.1*10^6*4)/(1.56*10^5*0.1)</f>
        <v>25.641025641025642</v>
      </c>
      <c r="I4" s="5">
        <v>235.23</v>
      </c>
      <c r="J4" s="5">
        <v>0.622</v>
      </c>
      <c r="K4" s="5">
        <v>2</v>
      </c>
      <c r="M4" s="1"/>
      <c r="N4" s="5"/>
      <c r="O4" s="1"/>
      <c r="X4" s="9"/>
      <c r="Y4" s="9"/>
      <c r="Z4" s="9"/>
      <c r="AA4" s="9"/>
      <c r="AB4" s="9"/>
      <c r="AC4" s="9"/>
      <c r="AD4" s="10"/>
      <c r="AE4" s="10"/>
      <c r="AF4" s="9"/>
    </row>
    <row r="5" spans="1:33" x14ac:dyDescent="0.25">
      <c r="A5" s="5">
        <v>4</v>
      </c>
      <c r="B5" s="5">
        <v>8.4</v>
      </c>
      <c r="C5" s="5">
        <v>5.6</v>
      </c>
      <c r="D5" s="5">
        <v>41.5</v>
      </c>
      <c r="E5" s="5">
        <v>8.9</v>
      </c>
      <c r="F5" s="5">
        <v>4.5999999999999996</v>
      </c>
      <c r="G5" s="5">
        <v>1.53</v>
      </c>
      <c r="H5" s="8">
        <f>(0.14*10^6*4)/(1.56*10^5*0.1)</f>
        <v>35.897435897435898</v>
      </c>
      <c r="I5" s="5">
        <v>638.6</v>
      </c>
      <c r="J5" s="5">
        <v>0.32200000000000001</v>
      </c>
      <c r="K5" s="5">
        <v>2</v>
      </c>
      <c r="N5" s="5"/>
      <c r="O5" s="1"/>
      <c r="U5" s="1"/>
      <c r="W5" s="4"/>
      <c r="X5" s="9"/>
      <c r="Y5" s="9"/>
      <c r="Z5" s="9"/>
      <c r="AA5" s="9"/>
      <c r="AB5" s="9"/>
      <c r="AC5" s="9"/>
      <c r="AD5" s="10"/>
      <c r="AE5" s="9"/>
      <c r="AF5" s="9"/>
      <c r="AG5" s="1"/>
    </row>
    <row r="6" spans="1:33" x14ac:dyDescent="0.25">
      <c r="A6" s="5">
        <v>5</v>
      </c>
      <c r="B6" s="5">
        <v>6.8</v>
      </c>
      <c r="C6" s="5">
        <v>10.7</v>
      </c>
      <c r="D6" s="5">
        <v>60</v>
      </c>
      <c r="E6" s="5">
        <v>12.2</v>
      </c>
      <c r="F6" s="5">
        <v>4.3</v>
      </c>
      <c r="G6" s="5">
        <v>2.56</v>
      </c>
      <c r="H6" s="8">
        <f>(0.13*10^6*4)/(1.56*10^5*0.1)</f>
        <v>33.333333333333336</v>
      </c>
      <c r="I6" s="5">
        <v>384.54</v>
      </c>
      <c r="J6" s="5">
        <v>0.28599999999999998</v>
      </c>
      <c r="K6" s="5">
        <v>2</v>
      </c>
      <c r="N6" s="5"/>
      <c r="O6" s="1"/>
      <c r="U6" s="1"/>
      <c r="V6" s="5"/>
      <c r="W6" s="4"/>
      <c r="X6" s="9"/>
      <c r="Y6" s="9"/>
      <c r="Z6" s="9"/>
      <c r="AA6" s="9"/>
      <c r="AB6" s="9"/>
      <c r="AC6" s="9"/>
      <c r="AD6" s="10"/>
      <c r="AE6" s="9"/>
      <c r="AF6" s="9"/>
      <c r="AG6" s="1"/>
    </row>
    <row r="7" spans="1:33" x14ac:dyDescent="0.25">
      <c r="A7" s="5">
        <v>6</v>
      </c>
      <c r="B7" s="5">
        <v>6.8</v>
      </c>
      <c r="C7" s="5">
        <v>6</v>
      </c>
      <c r="D7" s="5">
        <v>47</v>
      </c>
      <c r="E7" s="5">
        <v>7.7</v>
      </c>
      <c r="F7" s="5">
        <v>5</v>
      </c>
      <c r="G7" s="5">
        <v>3.08</v>
      </c>
      <c r="H7" s="8">
        <f>(0.12*10^6*4)/(1.56*10^5*0.1)</f>
        <v>30.76923076923077</v>
      </c>
      <c r="I7" s="5">
        <v>314.51</v>
      </c>
      <c r="J7" s="5">
        <v>0.217</v>
      </c>
      <c r="K7" s="5">
        <v>1</v>
      </c>
      <c r="N7" s="5"/>
      <c r="O7" s="1"/>
      <c r="U7" s="1"/>
      <c r="V7" s="5"/>
      <c r="W7" s="4"/>
      <c r="X7" s="9"/>
      <c r="Y7" s="9"/>
      <c r="Z7" s="9"/>
      <c r="AA7" s="9"/>
      <c r="AB7" s="9"/>
      <c r="AC7" s="9"/>
      <c r="AD7" s="10"/>
      <c r="AE7" s="9"/>
      <c r="AF7" s="9"/>
      <c r="AG7" s="1"/>
    </row>
    <row r="8" spans="1:33" x14ac:dyDescent="0.25">
      <c r="A8" s="5">
        <v>7</v>
      </c>
      <c r="B8" s="5">
        <v>5.2</v>
      </c>
      <c r="C8" s="5">
        <v>8</v>
      </c>
      <c r="D8" s="5">
        <v>47</v>
      </c>
      <c r="E8" s="5">
        <v>6.4</v>
      </c>
      <c r="F8" s="12">
        <v>5.3</v>
      </c>
      <c r="G8" s="5">
        <v>2.56</v>
      </c>
      <c r="H8" s="8">
        <v>28.205128205128201</v>
      </c>
      <c r="I8" s="5">
        <v>240</v>
      </c>
      <c r="J8" s="5">
        <v>0.20799999999999999</v>
      </c>
      <c r="K8" s="6">
        <v>3</v>
      </c>
      <c r="N8" s="5"/>
      <c r="O8" s="1"/>
      <c r="U8" s="1"/>
      <c r="V8" s="5"/>
      <c r="W8" s="4"/>
      <c r="X8" s="9"/>
      <c r="Y8" s="9"/>
      <c r="Z8" s="9"/>
      <c r="AA8" s="9"/>
      <c r="AB8" s="11"/>
      <c r="AC8" s="9"/>
      <c r="AD8" s="10"/>
      <c r="AE8" s="9"/>
      <c r="AF8" s="9"/>
      <c r="AG8" s="1"/>
    </row>
    <row r="9" spans="1:33" x14ac:dyDescent="0.25">
      <c r="A9" s="5">
        <v>8</v>
      </c>
      <c r="B9" s="5">
        <v>7.6</v>
      </c>
      <c r="C9" s="5">
        <v>8</v>
      </c>
      <c r="D9" s="5">
        <v>41.5</v>
      </c>
      <c r="E9" s="5">
        <v>15.26</v>
      </c>
      <c r="F9" s="5">
        <v>4.9000000000000004</v>
      </c>
      <c r="G9" s="5">
        <v>2.0499999999999998</v>
      </c>
      <c r="H9" s="8">
        <f>(0.11*10^6*4)/(1.56*10^5*0.1)</f>
        <v>28.205128205128204</v>
      </c>
      <c r="I9" s="5">
        <v>361.28</v>
      </c>
      <c r="J9" s="5">
        <v>0.370714285714286</v>
      </c>
      <c r="K9" s="5">
        <v>2</v>
      </c>
      <c r="N9" s="5"/>
      <c r="O9" s="1"/>
      <c r="U9" s="1"/>
      <c r="V9" s="5"/>
      <c r="W9" s="4"/>
      <c r="X9" s="9"/>
      <c r="Y9" s="9"/>
      <c r="Z9" s="9"/>
      <c r="AA9" s="9"/>
      <c r="AB9" s="9"/>
      <c r="AC9" s="9"/>
      <c r="AD9" s="10"/>
      <c r="AE9" s="9"/>
      <c r="AF9" s="9"/>
      <c r="AG9" s="1"/>
    </row>
    <row r="10" spans="1:33" x14ac:dyDescent="0.25">
      <c r="A10" s="5">
        <v>9</v>
      </c>
      <c r="B10" s="5">
        <v>1.6</v>
      </c>
      <c r="C10" s="5">
        <v>4</v>
      </c>
      <c r="D10" s="5">
        <v>72.599999999999994</v>
      </c>
      <c r="E10" s="5">
        <v>3.5</v>
      </c>
      <c r="F10" s="5">
        <v>4.5999999999999996</v>
      </c>
      <c r="G10" s="5">
        <v>1.03</v>
      </c>
      <c r="H10" s="8">
        <v>30.769230769230798</v>
      </c>
      <c r="I10" s="8">
        <v>170</v>
      </c>
      <c r="J10" s="5">
        <v>0.27500000000000002</v>
      </c>
      <c r="K10" s="5">
        <v>0</v>
      </c>
      <c r="N10" s="5"/>
      <c r="O10" s="1"/>
      <c r="U10" s="1"/>
      <c r="V10" s="5"/>
      <c r="W10" s="4"/>
      <c r="X10" s="9"/>
      <c r="Y10" s="9"/>
      <c r="Z10" s="9"/>
      <c r="AA10" s="9"/>
      <c r="AB10" s="9"/>
      <c r="AC10" s="9"/>
      <c r="AD10" s="10"/>
      <c r="AE10" s="9"/>
      <c r="AF10" s="9"/>
      <c r="AG10" s="1"/>
    </row>
    <row r="11" spans="1:33" x14ac:dyDescent="0.25">
      <c r="A11" s="5">
        <v>10</v>
      </c>
      <c r="B11" s="13"/>
      <c r="C11" s="13"/>
      <c r="D11" s="13"/>
      <c r="E11" s="13"/>
      <c r="F11" s="13"/>
      <c r="G11" s="5">
        <v>1.03</v>
      </c>
      <c r="H11" s="8">
        <f>(0.14*10^6*4)/(1.56*10^5*0.1)</f>
        <v>35.897435897435898</v>
      </c>
      <c r="I11" s="13"/>
      <c r="J11" s="13"/>
      <c r="K11" s="5">
        <v>2</v>
      </c>
      <c r="N11" s="5"/>
      <c r="O11" s="1"/>
      <c r="U11" s="1"/>
      <c r="V11" s="5"/>
      <c r="W11" s="4"/>
      <c r="X11" s="9"/>
      <c r="Y11" s="9"/>
      <c r="Z11" s="9"/>
      <c r="AA11" s="9"/>
      <c r="AB11" s="9"/>
      <c r="AC11" s="9"/>
      <c r="AD11" s="10"/>
      <c r="AE11" s="9"/>
      <c r="AF11" s="9"/>
      <c r="AG11" s="1"/>
    </row>
    <row r="12" spans="1:33" x14ac:dyDescent="0.25">
      <c r="A12" s="5">
        <v>11</v>
      </c>
      <c r="B12" s="5">
        <v>0.8</v>
      </c>
      <c r="C12" s="5">
        <v>6</v>
      </c>
      <c r="D12" s="5">
        <v>75.2</v>
      </c>
      <c r="E12" s="5">
        <v>4.9000000000000004</v>
      </c>
      <c r="F12" s="5">
        <v>4.9000000000000004</v>
      </c>
      <c r="G12" s="5">
        <v>2.0499999999999998</v>
      </c>
      <c r="H12" s="8">
        <v>23.076923076923102</v>
      </c>
      <c r="I12" s="8">
        <v>235.416666666667</v>
      </c>
      <c r="J12" s="8">
        <v>0.27153333333333302</v>
      </c>
      <c r="K12" s="5">
        <v>0</v>
      </c>
      <c r="N12" s="5"/>
      <c r="O12" s="1"/>
      <c r="U12" s="1"/>
      <c r="V12" s="5"/>
      <c r="W12" s="4"/>
      <c r="X12" s="9"/>
      <c r="Y12" s="9"/>
      <c r="Z12" s="9"/>
      <c r="AA12" s="9"/>
      <c r="AB12" s="9"/>
      <c r="AC12" s="9"/>
      <c r="AD12" s="10"/>
      <c r="AE12" s="9"/>
      <c r="AF12" s="9"/>
      <c r="AG12" s="1"/>
    </row>
    <row r="13" spans="1:33" x14ac:dyDescent="0.25">
      <c r="A13" s="5">
        <v>12</v>
      </c>
      <c r="B13" s="5">
        <v>2</v>
      </c>
      <c r="C13" s="5">
        <v>5.4</v>
      </c>
      <c r="D13" s="5">
        <v>65</v>
      </c>
      <c r="E13" s="5">
        <v>4.2</v>
      </c>
      <c r="F13" s="5">
        <v>6.26</v>
      </c>
      <c r="G13" s="8">
        <v>3.1466666666666701</v>
      </c>
      <c r="H13" s="8">
        <v>35.897435897435898</v>
      </c>
      <c r="I13" s="5">
        <v>380</v>
      </c>
      <c r="J13" s="5">
        <v>0.17499999999999999</v>
      </c>
      <c r="K13" s="6">
        <v>3</v>
      </c>
      <c r="N13" s="5"/>
      <c r="O13" s="1"/>
      <c r="U13" s="1"/>
      <c r="V13" s="5"/>
      <c r="W13" s="4"/>
      <c r="X13" s="9"/>
      <c r="Y13" s="9"/>
      <c r="Z13" s="9"/>
      <c r="AA13" s="9"/>
      <c r="AB13" s="9"/>
      <c r="AC13" s="9"/>
      <c r="AD13" s="10"/>
      <c r="AE13" s="9"/>
      <c r="AF13" s="9"/>
      <c r="AG13" s="1"/>
    </row>
    <row r="14" spans="1:33" x14ac:dyDescent="0.25">
      <c r="A14" s="5">
        <v>13</v>
      </c>
      <c r="B14" s="5">
        <v>8.4</v>
      </c>
      <c r="C14" s="5">
        <v>12.7</v>
      </c>
      <c r="D14" s="5">
        <v>52</v>
      </c>
      <c r="E14" s="5">
        <v>11.5</v>
      </c>
      <c r="F14" s="5">
        <v>3.2</v>
      </c>
      <c r="G14" s="5">
        <v>2.0499999999999998</v>
      </c>
      <c r="H14" s="8">
        <f>(0.1*10^6*4)/(1.56*10^5*0.1)</f>
        <v>25.641025641025642</v>
      </c>
      <c r="I14" s="5">
        <v>472.4</v>
      </c>
      <c r="J14" s="5">
        <v>0.51400000000000001</v>
      </c>
      <c r="K14" s="5">
        <v>2</v>
      </c>
      <c r="N14" s="5"/>
      <c r="O14" s="1"/>
      <c r="U14" s="1"/>
      <c r="V14" s="5"/>
      <c r="W14" s="4"/>
      <c r="X14" s="9"/>
      <c r="Y14" s="9"/>
      <c r="Z14" s="9"/>
      <c r="AA14" s="9"/>
      <c r="AB14" s="9"/>
      <c r="AC14" s="9"/>
      <c r="AD14" s="10"/>
      <c r="AE14" s="9"/>
      <c r="AF14" s="9"/>
      <c r="AG14" s="1"/>
    </row>
    <row r="15" spans="1:33" x14ac:dyDescent="0.25">
      <c r="A15" s="5">
        <v>14</v>
      </c>
      <c r="B15" s="5">
        <v>4.5999999999999996</v>
      </c>
      <c r="C15" s="5">
        <v>4</v>
      </c>
      <c r="D15" s="5">
        <v>70</v>
      </c>
      <c r="E15" s="5">
        <v>5.6</v>
      </c>
      <c r="F15" s="5">
        <v>6.26</v>
      </c>
      <c r="G15" s="5">
        <v>3.08</v>
      </c>
      <c r="H15" s="8">
        <v>33.3333333333333</v>
      </c>
      <c r="I15" s="5">
        <v>250</v>
      </c>
      <c r="J15" s="5">
        <v>0.30299999999999999</v>
      </c>
      <c r="K15" s="6">
        <v>3</v>
      </c>
      <c r="N15" s="5"/>
      <c r="O15" s="1"/>
      <c r="U15" s="1"/>
      <c r="W15" s="4"/>
      <c r="X15" s="9"/>
      <c r="Y15" s="9"/>
      <c r="Z15" s="9"/>
      <c r="AA15" s="9"/>
      <c r="AB15" s="9"/>
      <c r="AC15" s="10"/>
      <c r="AD15" s="10"/>
      <c r="AE15" s="9"/>
      <c r="AF15" s="9"/>
      <c r="AG15" s="1"/>
    </row>
    <row r="16" spans="1:33" x14ac:dyDescent="0.25">
      <c r="A16" s="5">
        <v>15</v>
      </c>
      <c r="B16" s="5">
        <v>0.8</v>
      </c>
      <c r="C16" s="5">
        <v>4</v>
      </c>
      <c r="D16" s="5">
        <v>67.400000000000006</v>
      </c>
      <c r="E16" s="5">
        <v>6.4</v>
      </c>
      <c r="F16" s="5">
        <v>6.26</v>
      </c>
      <c r="G16" s="5">
        <v>6.2</v>
      </c>
      <c r="H16" s="8">
        <v>34.615384615384599</v>
      </c>
      <c r="I16" s="5">
        <v>310</v>
      </c>
      <c r="J16" s="5">
        <v>0.311</v>
      </c>
      <c r="K16" s="6">
        <v>3</v>
      </c>
      <c r="N16" s="5"/>
      <c r="O16" s="1"/>
      <c r="U16" s="1"/>
      <c r="W16" s="4"/>
      <c r="X16" s="9"/>
      <c r="Y16" s="9"/>
      <c r="Z16" s="9"/>
      <c r="AA16" s="9"/>
      <c r="AB16" s="9"/>
      <c r="AC16" s="9"/>
      <c r="AD16" s="10"/>
      <c r="AE16" s="9"/>
      <c r="AF16" s="9"/>
      <c r="AG16" s="1"/>
    </row>
    <row r="17" spans="1:33" x14ac:dyDescent="0.25">
      <c r="A17" s="5">
        <v>16</v>
      </c>
      <c r="B17" s="5">
        <v>6.4</v>
      </c>
      <c r="C17" s="5">
        <v>7.3</v>
      </c>
      <c r="D17" s="5">
        <v>72.599999999999994</v>
      </c>
      <c r="E17" s="5">
        <v>6.4</v>
      </c>
      <c r="F17" s="5">
        <v>4.3</v>
      </c>
      <c r="G17" s="5">
        <v>1.03</v>
      </c>
      <c r="H17" s="8">
        <f>(0.145*10^6*4)/(1.56*10^5*0.1)</f>
        <v>37.179487179487182</v>
      </c>
      <c r="I17" s="5">
        <v>474.85</v>
      </c>
      <c r="J17" s="5">
        <v>0.50600000000000001</v>
      </c>
      <c r="K17" s="5">
        <v>2</v>
      </c>
      <c r="N17" s="5"/>
      <c r="O17" s="1"/>
      <c r="U17" s="1"/>
      <c r="W17" s="4"/>
      <c r="X17" s="9"/>
      <c r="Y17" s="9"/>
      <c r="Z17" s="9"/>
      <c r="AA17" s="9"/>
      <c r="AB17" s="9"/>
      <c r="AC17" s="9"/>
      <c r="AD17" s="10"/>
      <c r="AE17" s="9"/>
      <c r="AF17" s="9"/>
      <c r="AG17" s="1"/>
    </row>
    <row r="18" spans="1:33" x14ac:dyDescent="0.25">
      <c r="A18" s="5">
        <v>17</v>
      </c>
      <c r="B18" s="5">
        <v>1.6</v>
      </c>
      <c r="C18" s="5">
        <v>5.8</v>
      </c>
      <c r="D18" s="5">
        <v>74</v>
      </c>
      <c r="E18" s="5">
        <v>6.7</v>
      </c>
      <c r="F18" s="5">
        <v>2.2999999999999998</v>
      </c>
      <c r="G18" s="5">
        <v>1.53</v>
      </c>
      <c r="H18" s="8">
        <v>21.794871794871799</v>
      </c>
      <c r="I18" s="8">
        <v>185</v>
      </c>
      <c r="J18" s="5">
        <v>0.24199999999999999</v>
      </c>
      <c r="K18" s="5">
        <v>0</v>
      </c>
      <c r="N18" s="5"/>
      <c r="O18" s="1"/>
      <c r="U18" s="1"/>
      <c r="W18" s="4"/>
      <c r="X18" s="9"/>
      <c r="Y18" s="9"/>
      <c r="Z18" s="9"/>
      <c r="AA18" s="9"/>
      <c r="AB18" s="9"/>
      <c r="AC18" s="9"/>
      <c r="AD18" s="10"/>
      <c r="AE18" s="9"/>
      <c r="AF18" s="9"/>
      <c r="AG18" s="1"/>
    </row>
    <row r="19" spans="1:33" x14ac:dyDescent="0.25">
      <c r="A19" s="5">
        <v>18</v>
      </c>
      <c r="B19" s="5">
        <v>5.2</v>
      </c>
      <c r="C19" s="5">
        <v>5.2</v>
      </c>
      <c r="D19" s="5">
        <v>65</v>
      </c>
      <c r="E19" s="5">
        <v>7.7</v>
      </c>
      <c r="F19" s="5">
        <v>3</v>
      </c>
      <c r="G19" s="5">
        <v>2.0499999999999998</v>
      </c>
      <c r="H19" s="8">
        <f>(0.1*10^6*4)/(1.56*10^5*0.1)</f>
        <v>25.641025641025642</v>
      </c>
      <c r="I19" s="5">
        <v>280</v>
      </c>
      <c r="J19" s="5">
        <v>0.33900000000000002</v>
      </c>
      <c r="K19" s="5">
        <v>2</v>
      </c>
      <c r="N19" s="5"/>
      <c r="O19" s="1"/>
      <c r="U19" s="1"/>
      <c r="W19" s="4"/>
      <c r="X19" s="9"/>
      <c r="Y19" s="9"/>
      <c r="Z19" s="9"/>
      <c r="AA19" s="9"/>
      <c r="AB19" s="9"/>
      <c r="AC19" s="9"/>
      <c r="AD19" s="10"/>
      <c r="AE19" s="9"/>
      <c r="AF19" s="9"/>
      <c r="AG19" s="1"/>
    </row>
    <row r="20" spans="1:33" x14ac:dyDescent="0.25">
      <c r="A20" s="5">
        <v>19</v>
      </c>
      <c r="B20" s="5">
        <v>11.5</v>
      </c>
      <c r="C20" s="5">
        <v>7.3</v>
      </c>
      <c r="D20" s="5">
        <v>57</v>
      </c>
      <c r="E20" s="5">
        <v>12.2</v>
      </c>
      <c r="F20" s="5">
        <v>4.5999999999999996</v>
      </c>
      <c r="G20" s="5">
        <v>4.6100000000000003</v>
      </c>
      <c r="H20" s="8">
        <f>(0.13*10^6*4)/(1.56*10^5*0.1)</f>
        <v>33.333333333333336</v>
      </c>
      <c r="I20" s="5">
        <v>490.33</v>
      </c>
      <c r="J20" s="5">
        <v>0.370714285714286</v>
      </c>
      <c r="K20" s="5">
        <v>2</v>
      </c>
      <c r="N20" s="5"/>
      <c r="O20" s="1"/>
    </row>
    <row r="21" spans="1:33" ht="15.75" customHeight="1" x14ac:dyDescent="0.25">
      <c r="A21" s="5">
        <v>20</v>
      </c>
      <c r="B21" s="5">
        <v>9.6</v>
      </c>
      <c r="C21" s="5">
        <v>4.5999999999999996</v>
      </c>
      <c r="D21" s="5">
        <v>52</v>
      </c>
      <c r="E21" s="5">
        <v>5.6</v>
      </c>
      <c r="F21" s="5">
        <v>6.26</v>
      </c>
      <c r="G21" s="5">
        <v>4.0999999999999996</v>
      </c>
      <c r="H21" s="8">
        <v>25.6410256410256</v>
      </c>
      <c r="I21" s="5">
        <v>210</v>
      </c>
      <c r="J21" s="5">
        <v>0.19400000000000001</v>
      </c>
      <c r="K21" s="6">
        <v>3</v>
      </c>
      <c r="N21" s="5"/>
      <c r="O21" s="1"/>
    </row>
    <row r="22" spans="1:33" ht="15.75" customHeight="1" x14ac:dyDescent="0.25">
      <c r="A22" s="5">
        <v>21</v>
      </c>
      <c r="B22" s="5">
        <v>4.4000000000000004</v>
      </c>
      <c r="C22" s="5">
        <v>7.3</v>
      </c>
      <c r="D22" s="5">
        <v>60</v>
      </c>
      <c r="E22" s="5">
        <v>5.6</v>
      </c>
      <c r="F22" s="5">
        <v>5.3</v>
      </c>
      <c r="G22" s="5">
        <v>3.58</v>
      </c>
      <c r="H22" s="8">
        <v>28.205128205128201</v>
      </c>
      <c r="I22" s="5">
        <v>350</v>
      </c>
      <c r="J22" s="5">
        <v>0.247</v>
      </c>
      <c r="K22" s="5">
        <v>3</v>
      </c>
      <c r="N22" s="5"/>
      <c r="O22" s="1"/>
    </row>
    <row r="23" spans="1:33" ht="15.75" customHeight="1" x14ac:dyDescent="0.25">
      <c r="A23" s="5">
        <v>22</v>
      </c>
      <c r="B23" s="5">
        <v>4.8</v>
      </c>
      <c r="C23" s="5">
        <v>5.2</v>
      </c>
      <c r="D23" s="5">
        <v>62.2</v>
      </c>
      <c r="E23" s="5">
        <v>6.4</v>
      </c>
      <c r="F23" s="5">
        <v>6.4</v>
      </c>
      <c r="G23" s="5">
        <v>3.08</v>
      </c>
      <c r="H23" s="8">
        <v>21.794871794871799</v>
      </c>
      <c r="I23" s="5">
        <v>300</v>
      </c>
      <c r="J23" s="5">
        <v>0.18099999999999999</v>
      </c>
      <c r="K23" s="6">
        <v>3</v>
      </c>
      <c r="M23" s="1"/>
      <c r="N23" s="5"/>
      <c r="O23" s="1"/>
      <c r="P23" s="4"/>
      <c r="Q23" s="4"/>
      <c r="R23" s="4"/>
      <c r="S23" s="4"/>
      <c r="T23" s="4"/>
      <c r="U23" s="2"/>
      <c r="V23" s="4"/>
      <c r="W23" s="5"/>
      <c r="X23" s="4"/>
      <c r="Y23" s="4"/>
      <c r="Z23" s="4"/>
      <c r="AA23" s="4"/>
      <c r="AB23" s="4"/>
      <c r="AC23" s="4"/>
      <c r="AD23" s="4"/>
      <c r="AE23" s="4"/>
      <c r="AF23" s="4"/>
      <c r="AG23" s="4"/>
    </row>
    <row r="24" spans="1:33" ht="15.75" customHeight="1" x14ac:dyDescent="0.25">
      <c r="A24" s="5">
        <v>23</v>
      </c>
      <c r="B24" s="5">
        <v>1.6</v>
      </c>
      <c r="C24" s="5">
        <v>6.3</v>
      </c>
      <c r="D24" s="5">
        <v>85</v>
      </c>
      <c r="E24" s="5">
        <v>5.6</v>
      </c>
      <c r="F24" s="5">
        <v>6.8</v>
      </c>
      <c r="G24" s="5">
        <v>1.53</v>
      </c>
      <c r="H24" s="8">
        <v>20.5128205128205</v>
      </c>
      <c r="I24" s="8">
        <v>195</v>
      </c>
      <c r="J24" s="5">
        <v>0.27500000000000002</v>
      </c>
      <c r="K24" s="5">
        <v>0</v>
      </c>
      <c r="N24" s="5"/>
      <c r="O24" s="1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3"/>
    </row>
    <row r="25" spans="1:33" ht="15.75" customHeight="1" x14ac:dyDescent="0.25">
      <c r="A25" s="5">
        <v>24</v>
      </c>
      <c r="B25" s="5">
        <v>0.8</v>
      </c>
      <c r="C25" s="5">
        <v>5.4</v>
      </c>
      <c r="D25" s="5">
        <v>70</v>
      </c>
      <c r="E25" s="5">
        <v>5.6</v>
      </c>
      <c r="F25" s="5">
        <v>2</v>
      </c>
      <c r="G25" s="5">
        <v>2.56</v>
      </c>
      <c r="H25" s="8">
        <v>33.3333333333333</v>
      </c>
      <c r="I25" s="8">
        <v>340</v>
      </c>
      <c r="J25" s="5">
        <v>0.4</v>
      </c>
      <c r="K25" s="5">
        <v>0</v>
      </c>
      <c r="N25" s="5"/>
      <c r="O25" s="1"/>
      <c r="U25" s="1"/>
      <c r="W25" s="4"/>
      <c r="X25" s="9"/>
      <c r="Y25" s="9"/>
      <c r="Z25" s="9"/>
      <c r="AA25" s="9"/>
      <c r="AB25" s="11"/>
      <c r="AC25" s="9"/>
      <c r="AD25" s="10"/>
      <c r="AE25" s="10"/>
      <c r="AF25" s="9"/>
      <c r="AG25" s="5"/>
    </row>
    <row r="26" spans="1:33" ht="15.75" customHeight="1" x14ac:dyDescent="0.25">
      <c r="A26" s="5">
        <v>26</v>
      </c>
      <c r="B26" s="5">
        <v>4.8</v>
      </c>
      <c r="C26" s="5">
        <v>8.6999999999999993</v>
      </c>
      <c r="D26" s="5">
        <v>52</v>
      </c>
      <c r="E26" s="5">
        <v>8.9</v>
      </c>
      <c r="F26" s="5">
        <v>4.5999999999999996</v>
      </c>
      <c r="G26" s="5">
        <v>1.53</v>
      </c>
      <c r="H26" s="8">
        <v>28.205128205128201</v>
      </c>
      <c r="I26" s="8">
        <v>276.66666666666703</v>
      </c>
      <c r="J26" s="5">
        <v>0.311</v>
      </c>
      <c r="K26" s="5">
        <v>3</v>
      </c>
      <c r="N26" s="5"/>
      <c r="O26" s="1"/>
      <c r="U26" s="1"/>
      <c r="W26" s="4"/>
      <c r="X26" s="9"/>
      <c r="Y26" s="9"/>
      <c r="Z26" s="9"/>
      <c r="AA26" s="9"/>
      <c r="AB26" s="9"/>
      <c r="AC26" s="9"/>
      <c r="AD26" s="10"/>
      <c r="AE26" s="10"/>
      <c r="AF26" s="9"/>
      <c r="AG26" s="5"/>
    </row>
    <row r="27" spans="1:33" ht="15.75" customHeight="1" x14ac:dyDescent="0.25">
      <c r="A27" s="5">
        <v>27</v>
      </c>
      <c r="B27" s="5">
        <v>6</v>
      </c>
      <c r="C27" s="5">
        <v>1.7</v>
      </c>
      <c r="D27" s="5">
        <v>63</v>
      </c>
      <c r="E27" s="5">
        <v>7.7</v>
      </c>
      <c r="F27" s="5">
        <v>3.8</v>
      </c>
      <c r="G27" s="5">
        <v>1.03</v>
      </c>
      <c r="H27" s="8">
        <f>(0.11*10^6*4)/(1.56*10^5*0.1)</f>
        <v>28.205128205128204</v>
      </c>
      <c r="I27" s="5">
        <v>184.54</v>
      </c>
      <c r="J27" s="5">
        <v>0.41099999999999998</v>
      </c>
      <c r="K27" s="5">
        <v>2</v>
      </c>
      <c r="N27" s="5"/>
      <c r="O27" s="1"/>
      <c r="U27" s="1"/>
      <c r="W27" s="4"/>
      <c r="X27" s="9"/>
      <c r="Y27" s="9"/>
      <c r="Z27" s="9"/>
      <c r="AA27" s="9"/>
      <c r="AB27" s="9"/>
      <c r="AC27" s="9"/>
      <c r="AD27" s="10"/>
      <c r="AE27" s="10"/>
      <c r="AF27" s="10"/>
      <c r="AG27" s="5"/>
    </row>
    <row r="28" spans="1:33" ht="15.75" customHeight="1" x14ac:dyDescent="0.25">
      <c r="A28" s="5">
        <v>28</v>
      </c>
      <c r="B28" s="5">
        <v>8</v>
      </c>
      <c r="C28" s="5">
        <v>7.3</v>
      </c>
      <c r="D28" s="5">
        <v>67.400000000000006</v>
      </c>
      <c r="E28" s="5">
        <v>12.2</v>
      </c>
      <c r="F28" s="5">
        <v>3</v>
      </c>
      <c r="G28" s="5">
        <v>1.53</v>
      </c>
      <c r="H28" s="8">
        <f>(0.15*10^6*4)/(1.56*10^5*0.1)</f>
        <v>38.46153846153846</v>
      </c>
      <c r="I28" s="5">
        <v>321.27</v>
      </c>
      <c r="J28" s="5">
        <v>0.39700000000000002</v>
      </c>
      <c r="K28" s="5">
        <v>2</v>
      </c>
      <c r="M28" s="1"/>
      <c r="N28" s="5"/>
      <c r="O28" s="1"/>
      <c r="P28" s="4"/>
      <c r="Q28" s="4"/>
      <c r="R28" s="4"/>
      <c r="S28" s="4"/>
      <c r="T28" s="4"/>
      <c r="U28" s="4"/>
      <c r="V28" s="4"/>
      <c r="W28" s="4"/>
      <c r="X28" s="9"/>
      <c r="Y28" s="9"/>
      <c r="Z28" s="9"/>
      <c r="AA28" s="9"/>
      <c r="AB28" s="9"/>
      <c r="AC28" s="9"/>
      <c r="AD28" s="10"/>
      <c r="AE28" s="10"/>
      <c r="AF28" s="9"/>
      <c r="AG28" s="5"/>
    </row>
    <row r="29" spans="1:33" s="4" customFormat="1" ht="15.75" customHeight="1" x14ac:dyDescent="0.25">
      <c r="A29" s="5">
        <v>29</v>
      </c>
      <c r="B29" s="5">
        <v>6</v>
      </c>
      <c r="C29" s="5">
        <v>4.7</v>
      </c>
      <c r="D29" s="5">
        <v>73</v>
      </c>
      <c r="E29" s="5">
        <v>8.9</v>
      </c>
      <c r="F29" s="5">
        <v>5.8</v>
      </c>
      <c r="G29" s="5">
        <v>3.08</v>
      </c>
      <c r="H29" s="8">
        <v>28.205128205128201</v>
      </c>
      <c r="I29" s="5">
        <v>400</v>
      </c>
      <c r="J29" s="5">
        <v>0.17699999999999999</v>
      </c>
      <c r="K29" s="6">
        <v>3</v>
      </c>
      <c r="M29"/>
      <c r="N29" s="5"/>
      <c r="O29" s="1"/>
      <c r="P29"/>
      <c r="Q29"/>
      <c r="R29"/>
      <c r="S29"/>
      <c r="T29"/>
      <c r="U29" s="1"/>
      <c r="V29"/>
      <c r="X29" s="9"/>
      <c r="Y29" s="9"/>
      <c r="Z29" s="9"/>
      <c r="AA29" s="9"/>
      <c r="AB29" s="9"/>
      <c r="AC29" s="9"/>
      <c r="AD29" s="10"/>
      <c r="AE29" s="10"/>
      <c r="AF29" s="9"/>
      <c r="AG29" s="5"/>
    </row>
    <row r="30" spans="1:33" ht="15.75" customHeight="1" x14ac:dyDescent="0.25">
      <c r="A30" s="5">
        <v>30</v>
      </c>
      <c r="B30" s="5">
        <v>6.8</v>
      </c>
      <c r="C30" s="5">
        <v>10.7</v>
      </c>
      <c r="D30" s="5">
        <v>65</v>
      </c>
      <c r="E30" s="5">
        <v>8.9</v>
      </c>
      <c r="F30" s="5">
        <v>2.9</v>
      </c>
      <c r="G30" s="5">
        <v>1.03</v>
      </c>
      <c r="H30" s="8">
        <f>(0.095*10^6*4)/(1.56*10^5*0.1)</f>
        <v>24.358974358974358</v>
      </c>
      <c r="I30" s="5">
        <v>606.14</v>
      </c>
      <c r="J30" s="5">
        <v>0.22800000000000001</v>
      </c>
      <c r="K30" s="5">
        <v>2</v>
      </c>
      <c r="N30" s="5"/>
      <c r="O30" s="1"/>
      <c r="U30" s="1"/>
      <c r="W30" s="4"/>
      <c r="X30" s="9"/>
      <c r="Y30" s="9"/>
      <c r="Z30" s="9"/>
      <c r="AA30" s="9"/>
      <c r="AB30" s="9"/>
      <c r="AC30" s="9"/>
      <c r="AD30" s="10"/>
      <c r="AE30" s="10"/>
      <c r="AF30" s="9"/>
      <c r="AG30" s="5"/>
    </row>
    <row r="31" spans="1:33" ht="15.75" customHeight="1" x14ac:dyDescent="0.25">
      <c r="A31" s="5">
        <v>31</v>
      </c>
      <c r="B31" s="5">
        <v>7.6</v>
      </c>
      <c r="C31" s="5">
        <v>6.8</v>
      </c>
      <c r="D31" s="5">
        <v>57</v>
      </c>
      <c r="E31" s="5">
        <v>7.7</v>
      </c>
      <c r="F31" s="5">
        <v>8</v>
      </c>
      <c r="G31" s="5">
        <v>2.0499999999999998</v>
      </c>
      <c r="H31" s="8">
        <v>28.205128205128201</v>
      </c>
      <c r="I31" s="5">
        <v>320</v>
      </c>
      <c r="J31" s="5">
        <v>0.33900000000000002</v>
      </c>
      <c r="K31" s="6">
        <v>3</v>
      </c>
      <c r="N31" s="5"/>
      <c r="O31" s="1"/>
      <c r="U31" s="1"/>
      <c r="W31" s="4"/>
      <c r="X31" s="9"/>
      <c r="Y31" s="9"/>
      <c r="Z31" s="9"/>
      <c r="AA31" s="9"/>
      <c r="AB31" s="9"/>
      <c r="AC31" s="9"/>
      <c r="AD31" s="10"/>
      <c r="AE31" s="10"/>
      <c r="AF31" s="9"/>
      <c r="AG31" s="5"/>
    </row>
    <row r="32" spans="1:33" s="4" customFormat="1" ht="15.75" customHeight="1" x14ac:dyDescent="0.25">
      <c r="A32" s="5">
        <v>32</v>
      </c>
      <c r="B32" s="5">
        <v>6</v>
      </c>
      <c r="C32" s="5">
        <v>4.8</v>
      </c>
      <c r="D32" s="5">
        <v>60</v>
      </c>
      <c r="E32" s="5">
        <v>5.6</v>
      </c>
      <c r="F32" s="5">
        <v>5.5</v>
      </c>
      <c r="G32" s="5">
        <v>2.0499999999999998</v>
      </c>
      <c r="H32" s="8">
        <f>(0.11*10^6*4)/(1.56*10^5*0.1)</f>
        <v>28.205128205128204</v>
      </c>
      <c r="I32" s="5">
        <v>435.16</v>
      </c>
      <c r="J32" s="5">
        <v>0.29199999999999998</v>
      </c>
      <c r="K32" s="5">
        <v>1</v>
      </c>
      <c r="M32"/>
      <c r="N32" s="5"/>
      <c r="O32" s="1"/>
      <c r="P32"/>
      <c r="Q32"/>
      <c r="R32"/>
      <c r="S32"/>
      <c r="T32"/>
      <c r="U32" s="1"/>
      <c r="V32"/>
      <c r="X32" s="9"/>
      <c r="Y32" s="9"/>
      <c r="Z32" s="9"/>
      <c r="AA32" s="9"/>
      <c r="AB32" s="9"/>
      <c r="AC32" s="9"/>
      <c r="AD32" s="10"/>
      <c r="AE32" s="10"/>
      <c r="AF32" s="9"/>
      <c r="AG32" s="5"/>
    </row>
    <row r="33" spans="1:33" s="4" customFormat="1" ht="15.75" customHeight="1" x14ac:dyDescent="0.25">
      <c r="A33" s="5">
        <v>33</v>
      </c>
      <c r="B33" s="5">
        <v>5.2</v>
      </c>
      <c r="C33" s="5">
        <v>11.3</v>
      </c>
      <c r="D33" s="5">
        <v>44.1</v>
      </c>
      <c r="E33" s="5">
        <v>17.3</v>
      </c>
      <c r="F33" s="5">
        <v>3</v>
      </c>
      <c r="G33" s="5">
        <v>3.08</v>
      </c>
      <c r="H33" s="8">
        <f>(0.15*10^6*4)/(1.56*10^5*0.1)</f>
        <v>38.46153846153846</v>
      </c>
      <c r="I33" s="5">
        <v>369</v>
      </c>
      <c r="J33" s="5">
        <v>0.28299999999999997</v>
      </c>
      <c r="K33" s="5">
        <v>2</v>
      </c>
      <c r="M33"/>
      <c r="N33" s="5"/>
      <c r="O33" s="1"/>
      <c r="P33"/>
      <c r="Q33"/>
      <c r="R33"/>
      <c r="S33"/>
      <c r="T33"/>
      <c r="U33" s="1"/>
      <c r="V33"/>
      <c r="X33" s="9"/>
      <c r="Y33" s="9"/>
      <c r="Z33" s="9"/>
      <c r="AA33" s="9"/>
      <c r="AB33" s="9"/>
      <c r="AC33" s="9"/>
      <c r="AD33" s="10"/>
      <c r="AE33" s="10"/>
      <c r="AF33" s="9"/>
      <c r="AG33" s="5"/>
    </row>
    <row r="34" spans="1:33" ht="15.75" customHeight="1" x14ac:dyDescent="0.25">
      <c r="A34" s="5">
        <v>34</v>
      </c>
      <c r="B34" s="5">
        <v>6.4</v>
      </c>
      <c r="C34" s="5">
        <v>10.7</v>
      </c>
      <c r="D34" s="5">
        <v>52</v>
      </c>
      <c r="E34" s="5">
        <v>11.5</v>
      </c>
      <c r="F34" s="5">
        <v>5.5</v>
      </c>
      <c r="G34" s="5">
        <v>2.0499999999999998</v>
      </c>
      <c r="H34" s="8">
        <v>30.769230769230798</v>
      </c>
      <c r="I34" s="5">
        <v>300</v>
      </c>
      <c r="J34" s="5">
        <v>0.17499999999999999</v>
      </c>
      <c r="K34" s="6">
        <v>3</v>
      </c>
      <c r="N34" s="5"/>
      <c r="O34" s="1"/>
      <c r="U34" s="1"/>
      <c r="W34" s="4"/>
      <c r="X34" s="9"/>
      <c r="Y34" s="9"/>
      <c r="Z34" s="9"/>
      <c r="AA34" s="9"/>
      <c r="AB34" s="9"/>
      <c r="AC34" s="9"/>
      <c r="AD34" s="10"/>
      <c r="AE34" s="10"/>
      <c r="AF34" s="9"/>
      <c r="AG34" s="5"/>
    </row>
    <row r="35" spans="1:33" ht="15.75" customHeight="1" x14ac:dyDescent="0.25">
      <c r="A35" s="5">
        <v>35</v>
      </c>
      <c r="B35" s="5">
        <v>2</v>
      </c>
      <c r="C35" s="5">
        <v>5.3</v>
      </c>
      <c r="D35" s="5">
        <v>75.2</v>
      </c>
      <c r="E35" s="5">
        <v>5.5</v>
      </c>
      <c r="F35" s="5">
        <v>3.3</v>
      </c>
      <c r="G35" s="5">
        <v>1.53</v>
      </c>
      <c r="H35" s="8">
        <v>30.769230769230798</v>
      </c>
      <c r="I35" s="8">
        <v>235.416666666667</v>
      </c>
      <c r="J35" s="5">
        <v>0.27200000000000002</v>
      </c>
      <c r="K35" s="5">
        <v>0</v>
      </c>
      <c r="N35" s="5"/>
      <c r="O35" s="1"/>
      <c r="U35" s="1"/>
      <c r="W35" s="4"/>
      <c r="X35" s="9"/>
      <c r="Y35" s="9"/>
      <c r="Z35" s="9"/>
      <c r="AA35" s="9"/>
      <c r="AB35" s="9"/>
      <c r="AC35" s="9"/>
      <c r="AD35" s="10"/>
      <c r="AE35" s="10"/>
      <c r="AF35" s="9"/>
      <c r="AG35" s="5"/>
    </row>
    <row r="36" spans="1:33" ht="15.75" customHeight="1" x14ac:dyDescent="0.25">
      <c r="A36" s="5">
        <v>36</v>
      </c>
      <c r="B36" s="5">
        <v>2</v>
      </c>
      <c r="C36" s="5">
        <v>4.7</v>
      </c>
      <c r="D36" s="5">
        <v>60</v>
      </c>
      <c r="E36" s="5">
        <v>6.7</v>
      </c>
      <c r="F36" s="5">
        <v>6.26</v>
      </c>
      <c r="G36" s="5">
        <v>4.0999999999999996</v>
      </c>
      <c r="H36" s="8">
        <v>28.205128205128201</v>
      </c>
      <c r="I36" s="5">
        <v>240</v>
      </c>
      <c r="J36" s="5">
        <v>0.497</v>
      </c>
      <c r="K36" s="6">
        <v>3</v>
      </c>
      <c r="N36" s="5"/>
      <c r="O36" s="1"/>
      <c r="U36" s="1"/>
      <c r="W36" s="4"/>
      <c r="X36" s="9"/>
      <c r="Y36" s="9"/>
      <c r="Z36" s="9"/>
      <c r="AA36" s="9"/>
      <c r="AB36" s="9"/>
      <c r="AC36" s="9"/>
      <c r="AD36" s="10"/>
      <c r="AE36" s="10"/>
      <c r="AF36" s="9"/>
      <c r="AG36" s="5"/>
    </row>
    <row r="37" spans="1:33" ht="15.75" customHeight="1" x14ac:dyDescent="0.25">
      <c r="A37" s="5">
        <v>37</v>
      </c>
      <c r="B37" s="5">
        <v>1.2</v>
      </c>
      <c r="C37" s="5">
        <v>4.7</v>
      </c>
      <c r="D37" s="5">
        <v>72.599999999999994</v>
      </c>
      <c r="E37" s="5">
        <v>3.5</v>
      </c>
      <c r="F37" s="12">
        <v>5.9</v>
      </c>
      <c r="G37" s="5">
        <v>3.08</v>
      </c>
      <c r="H37" s="8">
        <v>28.205128205128201</v>
      </c>
      <c r="I37" s="8">
        <v>295</v>
      </c>
      <c r="J37" s="5">
        <v>0.27200000000000002</v>
      </c>
      <c r="K37" s="5">
        <v>0</v>
      </c>
      <c r="N37" s="5"/>
      <c r="O37" s="1"/>
      <c r="U37" s="1"/>
      <c r="W37" s="4"/>
      <c r="X37" s="9"/>
      <c r="Y37" s="9"/>
      <c r="Z37" s="9"/>
      <c r="AA37" s="9"/>
      <c r="AB37" s="9"/>
      <c r="AC37" s="9"/>
      <c r="AD37" s="10"/>
      <c r="AE37" s="10"/>
      <c r="AF37" s="9"/>
      <c r="AG37" s="5"/>
    </row>
    <row r="38" spans="1:33" ht="15.75" customHeight="1" x14ac:dyDescent="0.25">
      <c r="A38" s="5">
        <v>38</v>
      </c>
      <c r="B38" s="5">
        <v>11.6</v>
      </c>
      <c r="C38" s="5">
        <v>6.7</v>
      </c>
      <c r="D38" s="5">
        <v>65</v>
      </c>
      <c r="E38" s="5">
        <v>12.8</v>
      </c>
      <c r="F38" s="5">
        <v>4.25</v>
      </c>
      <c r="G38" s="5">
        <v>2.0499999999999998</v>
      </c>
      <c r="H38" s="8">
        <f>(0.14*10^6*4)/(1.56*10^5*0.1)</f>
        <v>35.897435897435898</v>
      </c>
      <c r="I38" s="5">
        <v>595.91999999999996</v>
      </c>
      <c r="J38" s="5">
        <v>1.044</v>
      </c>
      <c r="K38" s="5">
        <v>1</v>
      </c>
      <c r="N38" s="5"/>
      <c r="O38" s="1"/>
      <c r="U38" s="1"/>
      <c r="W38" s="4"/>
      <c r="X38" s="9"/>
      <c r="Y38" s="9"/>
      <c r="Z38" s="9"/>
      <c r="AA38" s="9"/>
      <c r="AB38" s="9"/>
      <c r="AC38" s="9"/>
      <c r="AD38" s="10"/>
      <c r="AE38" s="10"/>
      <c r="AF38" s="9"/>
      <c r="AG38" s="5"/>
    </row>
    <row r="39" spans="1:33" ht="15.75" customHeight="1" x14ac:dyDescent="0.25">
      <c r="A39" s="5">
        <v>39</v>
      </c>
      <c r="B39" s="5">
        <v>1.6</v>
      </c>
      <c r="C39" s="5">
        <v>5.2</v>
      </c>
      <c r="D39" s="5">
        <v>65</v>
      </c>
      <c r="E39" s="5">
        <v>4.2</v>
      </c>
      <c r="F39" s="5">
        <v>6.26</v>
      </c>
      <c r="G39" s="5">
        <v>3.08</v>
      </c>
      <c r="H39" s="8">
        <v>23.076923076923102</v>
      </c>
      <c r="I39" s="5">
        <v>240</v>
      </c>
      <c r="J39" s="5">
        <v>0.25600000000000001</v>
      </c>
      <c r="K39" s="6">
        <v>3</v>
      </c>
      <c r="N39" s="5"/>
      <c r="O39" s="1"/>
      <c r="U39" s="1"/>
      <c r="W39" s="4"/>
      <c r="X39" s="9"/>
      <c r="Y39" s="9"/>
      <c r="Z39" s="9"/>
      <c r="AA39" s="9"/>
      <c r="AB39" s="9"/>
      <c r="AC39" s="9"/>
      <c r="AD39" s="10"/>
      <c r="AE39" s="10"/>
      <c r="AF39" s="9"/>
      <c r="AG39" s="5"/>
    </row>
    <row r="40" spans="1:33" ht="15.75" customHeight="1" x14ac:dyDescent="0.25">
      <c r="A40" s="5">
        <v>40</v>
      </c>
      <c r="B40" s="5">
        <v>2</v>
      </c>
      <c r="C40" s="5">
        <v>4.5999999999999996</v>
      </c>
      <c r="D40" s="5">
        <v>59</v>
      </c>
      <c r="E40" s="5">
        <v>5.6</v>
      </c>
      <c r="F40" s="5">
        <v>4.3</v>
      </c>
      <c r="G40" s="5">
        <v>1.53</v>
      </c>
      <c r="H40" s="8">
        <v>25.6410256410256</v>
      </c>
      <c r="I40" s="8">
        <v>240</v>
      </c>
      <c r="J40" s="5">
        <v>0.63100000000000001</v>
      </c>
      <c r="K40" s="5">
        <v>0</v>
      </c>
      <c r="N40" s="5"/>
      <c r="O40" s="1"/>
    </row>
    <row r="41" spans="1:33" ht="15.75" customHeight="1" x14ac:dyDescent="0.25">
      <c r="A41" s="5">
        <v>41</v>
      </c>
      <c r="B41" s="5">
        <v>6</v>
      </c>
      <c r="C41" s="5">
        <v>6</v>
      </c>
      <c r="D41" s="5">
        <v>73</v>
      </c>
      <c r="E41" s="5">
        <v>8.9</v>
      </c>
      <c r="F41" s="5">
        <v>7.6</v>
      </c>
      <c r="G41" s="5">
        <v>2.56</v>
      </c>
      <c r="H41" s="8">
        <v>21.794871794871799</v>
      </c>
      <c r="I41" s="5">
        <v>290</v>
      </c>
      <c r="J41" s="5">
        <v>0.28100000000000003</v>
      </c>
      <c r="K41" s="6">
        <v>3</v>
      </c>
      <c r="M41" s="1"/>
      <c r="N41" s="5"/>
      <c r="O41" s="1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</row>
    <row r="42" spans="1:33" ht="15.75" customHeight="1" x14ac:dyDescent="0.25">
      <c r="A42" s="5">
        <v>42</v>
      </c>
      <c r="B42" s="5">
        <v>6</v>
      </c>
      <c r="C42" s="5">
        <v>6</v>
      </c>
      <c r="D42" s="5">
        <v>73</v>
      </c>
      <c r="E42" s="5">
        <v>8.9</v>
      </c>
      <c r="F42" s="5">
        <v>6.26</v>
      </c>
      <c r="G42" s="5">
        <v>4.0999999999999996</v>
      </c>
      <c r="H42" s="8">
        <v>25.6410256410256</v>
      </c>
      <c r="I42" s="5">
        <v>170</v>
      </c>
      <c r="J42" s="5">
        <v>0.189</v>
      </c>
      <c r="K42" s="6">
        <v>3</v>
      </c>
      <c r="N42" s="5"/>
      <c r="O42" s="1"/>
    </row>
    <row r="43" spans="1:33" s="4" customFormat="1" ht="15.75" customHeight="1" x14ac:dyDescent="0.25">
      <c r="A43" s="5">
        <v>43</v>
      </c>
      <c r="B43" s="5">
        <v>1.2</v>
      </c>
      <c r="C43" s="5">
        <v>5.3</v>
      </c>
      <c r="D43" s="5">
        <v>77.8</v>
      </c>
      <c r="E43" s="5">
        <v>4.9000000000000004</v>
      </c>
      <c r="F43" s="5">
        <v>4.0999999999999996</v>
      </c>
      <c r="G43" s="5">
        <v>1.53</v>
      </c>
      <c r="H43" s="8">
        <v>23.076923076923102</v>
      </c>
      <c r="I43" s="8">
        <v>190</v>
      </c>
      <c r="J43" s="5">
        <v>0.27200000000000002</v>
      </c>
      <c r="K43" s="5">
        <v>0</v>
      </c>
      <c r="M43"/>
      <c r="N43" s="5"/>
      <c r="O43" s="1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</row>
    <row r="44" spans="1:33" s="4" customFormat="1" ht="15.75" customHeight="1" x14ac:dyDescent="0.25">
      <c r="A44" s="5">
        <v>44</v>
      </c>
      <c r="B44" s="5">
        <v>2</v>
      </c>
      <c r="C44" s="5">
        <v>5.8</v>
      </c>
      <c r="D44" s="5">
        <v>77</v>
      </c>
      <c r="E44" s="5">
        <v>7.7</v>
      </c>
      <c r="F44" s="5">
        <v>5.3</v>
      </c>
      <c r="G44" s="5">
        <v>2.56</v>
      </c>
      <c r="H44" s="8">
        <v>30.769230769230798</v>
      </c>
      <c r="I44" s="8">
        <v>230</v>
      </c>
      <c r="J44" s="5">
        <v>0.19700000000000001</v>
      </c>
      <c r="K44" s="5">
        <v>0</v>
      </c>
      <c r="M44" s="1"/>
      <c r="N44" s="5"/>
      <c r="O44" s="1"/>
    </row>
    <row r="45" spans="1:33" ht="15.75" customHeight="1" x14ac:dyDescent="0.25">
      <c r="A45" s="5">
        <v>45</v>
      </c>
      <c r="B45" s="5">
        <v>1.2</v>
      </c>
      <c r="C45" s="5">
        <v>4.8</v>
      </c>
      <c r="D45" s="5">
        <v>73</v>
      </c>
      <c r="E45" s="5">
        <v>6.4</v>
      </c>
      <c r="F45" s="5">
        <v>4.5999999999999996</v>
      </c>
      <c r="G45" s="5">
        <v>2.0499999999999998</v>
      </c>
      <c r="H45" s="8">
        <f>(0.14*10^6*4)/(1.56*10^5*0.1)</f>
        <v>35.897435897435898</v>
      </c>
      <c r="I45" s="5">
        <v>325</v>
      </c>
      <c r="J45" s="5">
        <v>0.17499999999999999</v>
      </c>
      <c r="K45" s="5">
        <v>2</v>
      </c>
      <c r="M45" s="1"/>
      <c r="N45" s="5"/>
      <c r="O45" s="1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</row>
    <row r="46" spans="1:33" ht="15.75" customHeight="1" x14ac:dyDescent="0.25">
      <c r="A46" s="5">
        <v>46</v>
      </c>
      <c r="B46" s="5">
        <v>8</v>
      </c>
      <c r="C46" s="5">
        <v>9.3000000000000007</v>
      </c>
      <c r="D46" s="5">
        <v>52</v>
      </c>
      <c r="E46" s="5">
        <v>13.4</v>
      </c>
      <c r="F46" s="5">
        <v>4.5999999999999996</v>
      </c>
      <c r="G46" s="5">
        <v>1.03</v>
      </c>
      <c r="H46" s="8">
        <f>(0.1*10^6*4)/(1.56*10^5*0.1)</f>
        <v>25.641025641025642</v>
      </c>
      <c r="I46" s="5">
        <v>132.71</v>
      </c>
      <c r="J46" s="5">
        <v>0.94199999999999995</v>
      </c>
      <c r="K46" s="5">
        <v>2</v>
      </c>
      <c r="N46" s="5"/>
      <c r="O46" s="1"/>
      <c r="U46" s="14"/>
      <c r="V46" s="7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</row>
    <row r="47" spans="1:33" ht="15.75" customHeight="1" x14ac:dyDescent="0.25">
      <c r="A47" s="5">
        <v>47</v>
      </c>
      <c r="B47" s="5">
        <v>0.8</v>
      </c>
      <c r="C47" s="5">
        <v>5.3</v>
      </c>
      <c r="D47" s="5">
        <v>75.2</v>
      </c>
      <c r="E47" s="5">
        <v>4.2</v>
      </c>
      <c r="F47" s="5">
        <v>4.0999999999999996</v>
      </c>
      <c r="G47" s="5">
        <v>1.53</v>
      </c>
      <c r="H47" s="8">
        <v>25.6410256410256</v>
      </c>
      <c r="I47" s="8">
        <v>220</v>
      </c>
      <c r="J47" s="5">
        <v>0.17499999999999999</v>
      </c>
      <c r="K47" s="5">
        <v>0</v>
      </c>
      <c r="N47" s="5"/>
      <c r="O47" s="1"/>
      <c r="U47" s="2"/>
      <c r="V47" s="3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</row>
    <row r="48" spans="1:33" ht="15.75" customHeight="1" x14ac:dyDescent="0.25">
      <c r="A48" s="5">
        <v>48</v>
      </c>
      <c r="B48" s="5">
        <v>6</v>
      </c>
      <c r="C48" s="5">
        <v>6</v>
      </c>
      <c r="D48" s="5">
        <v>57</v>
      </c>
      <c r="E48" s="5">
        <v>6.4</v>
      </c>
      <c r="F48" s="5">
        <v>3</v>
      </c>
      <c r="G48" s="5">
        <v>3.08</v>
      </c>
      <c r="H48" s="8">
        <f>(0.145*10^6*4)/(1.56*10^5*0.1)</f>
        <v>37.179487179487182</v>
      </c>
      <c r="I48" s="5">
        <v>250</v>
      </c>
      <c r="J48" s="5">
        <v>0.247</v>
      </c>
      <c r="K48" s="5">
        <v>2</v>
      </c>
      <c r="N48" s="5"/>
      <c r="O48" s="1"/>
      <c r="U48" s="1"/>
      <c r="V48" s="5"/>
    </row>
    <row r="49" spans="1:33" ht="15.75" customHeight="1" x14ac:dyDescent="0.25">
      <c r="A49" s="5">
        <v>49</v>
      </c>
      <c r="B49" s="5">
        <v>6.8</v>
      </c>
      <c r="C49" s="5">
        <v>9.3000000000000007</v>
      </c>
      <c r="D49" s="5">
        <v>60</v>
      </c>
      <c r="E49" s="5">
        <v>14.7</v>
      </c>
      <c r="F49" s="5">
        <v>2</v>
      </c>
      <c r="G49" s="5">
        <v>1.53</v>
      </c>
      <c r="H49" s="8">
        <f>(0.1*10^6*4)/(1.56*10^5*0.1)</f>
        <v>25.641025641025642</v>
      </c>
      <c r="I49" s="5">
        <v>301.8</v>
      </c>
      <c r="J49" s="5">
        <v>0.28899999999999998</v>
      </c>
      <c r="K49" s="5">
        <v>2</v>
      </c>
      <c r="N49" s="5"/>
      <c r="O49" s="1"/>
      <c r="U49" s="1"/>
      <c r="V49" s="5"/>
    </row>
    <row r="50" spans="1:33" ht="15.75" customHeight="1" x14ac:dyDescent="0.25">
      <c r="A50" s="5">
        <v>50</v>
      </c>
      <c r="B50" s="5">
        <v>6</v>
      </c>
      <c r="C50" s="5">
        <v>4.8</v>
      </c>
      <c r="D50" s="5">
        <v>60</v>
      </c>
      <c r="E50" s="5">
        <v>5.6</v>
      </c>
      <c r="F50" s="5">
        <v>5.5</v>
      </c>
      <c r="G50" s="5">
        <v>1.03</v>
      </c>
      <c r="H50" s="8">
        <f>(0.11*10^6*4)/(1.56*10^5*0.1)</f>
        <v>28.205128205128204</v>
      </c>
      <c r="I50" s="5">
        <v>435.16</v>
      </c>
      <c r="J50" s="5">
        <v>0.29199999999999998</v>
      </c>
      <c r="K50" s="5">
        <v>1</v>
      </c>
      <c r="N50" s="5"/>
      <c r="O50" s="1"/>
      <c r="U50" s="1"/>
      <c r="V50" s="5"/>
    </row>
    <row r="51" spans="1:33" ht="15.75" customHeight="1" x14ac:dyDescent="0.25">
      <c r="A51" s="5">
        <v>51</v>
      </c>
      <c r="B51" s="5">
        <v>10</v>
      </c>
      <c r="C51" s="5">
        <v>4.7</v>
      </c>
      <c r="D51" s="5">
        <v>52</v>
      </c>
      <c r="E51" s="5">
        <v>12.2</v>
      </c>
      <c r="F51" s="5">
        <v>3</v>
      </c>
      <c r="G51" s="5">
        <v>1.03</v>
      </c>
      <c r="H51" s="8">
        <f>(0.14*10^6*4)/(1.56*10^5*0.1)</f>
        <v>35.897435897435898</v>
      </c>
      <c r="I51" s="5">
        <v>446.53</v>
      </c>
      <c r="J51" s="5">
        <v>0.247</v>
      </c>
      <c r="K51" s="5">
        <v>2</v>
      </c>
      <c r="N51" s="5"/>
      <c r="O51" s="1"/>
      <c r="U51" s="1"/>
      <c r="V51" s="5"/>
    </row>
    <row r="52" spans="1:33" ht="15.75" customHeight="1" x14ac:dyDescent="0.25">
      <c r="A52" s="5">
        <v>52</v>
      </c>
      <c r="B52" s="5">
        <v>1.2</v>
      </c>
      <c r="C52" s="5">
        <v>5.3</v>
      </c>
      <c r="D52" s="5">
        <v>77.8</v>
      </c>
      <c r="E52" s="5">
        <v>4.2</v>
      </c>
      <c r="F52" s="5">
        <v>3.6</v>
      </c>
      <c r="G52" s="5">
        <v>1.53</v>
      </c>
      <c r="H52" s="8">
        <v>20.5128205128205</v>
      </c>
      <c r="I52" s="8">
        <v>290</v>
      </c>
      <c r="J52" s="5">
        <v>0.18099999999999999</v>
      </c>
      <c r="K52" s="5">
        <v>0</v>
      </c>
      <c r="N52" s="5"/>
      <c r="O52" s="1"/>
      <c r="U52" s="1"/>
      <c r="V52" s="5"/>
    </row>
    <row r="53" spans="1:33" ht="15.75" customHeight="1" x14ac:dyDescent="0.25">
      <c r="A53" s="5">
        <v>53</v>
      </c>
      <c r="B53" s="5">
        <v>0.8</v>
      </c>
      <c r="C53" s="5">
        <v>5.4</v>
      </c>
      <c r="D53" s="5">
        <v>74</v>
      </c>
      <c r="E53" s="5">
        <v>6.7</v>
      </c>
      <c r="F53" s="5">
        <v>3.3</v>
      </c>
      <c r="G53" s="5">
        <v>1.53</v>
      </c>
      <c r="H53" s="8">
        <v>30.769230769230798</v>
      </c>
      <c r="I53" s="8">
        <v>235.416666666667</v>
      </c>
      <c r="J53" s="5">
        <v>0.22800000000000001</v>
      </c>
      <c r="K53" s="5">
        <v>0</v>
      </c>
      <c r="N53" s="5"/>
      <c r="O53" s="1"/>
      <c r="U53" s="1"/>
      <c r="V53" s="5"/>
    </row>
    <row r="54" spans="1:33" ht="15.75" customHeight="1" x14ac:dyDescent="0.25">
      <c r="A54" s="5">
        <v>54</v>
      </c>
      <c r="B54" s="5">
        <v>6</v>
      </c>
      <c r="C54" s="5">
        <v>8</v>
      </c>
      <c r="D54" s="5">
        <v>36.299999999999997</v>
      </c>
      <c r="E54" s="5">
        <v>7.7</v>
      </c>
      <c r="F54" s="5">
        <v>3</v>
      </c>
      <c r="G54" s="5">
        <v>1.53</v>
      </c>
      <c r="H54" s="8">
        <f>(0.1*10^6*4)/(1.56*10^5*0.1)</f>
        <v>25.641025641025642</v>
      </c>
      <c r="I54" s="5">
        <v>488.95</v>
      </c>
      <c r="J54" s="5">
        <v>0.31900000000000001</v>
      </c>
      <c r="K54" s="5">
        <v>2</v>
      </c>
      <c r="N54" s="5"/>
      <c r="O54" s="1"/>
      <c r="U54" s="1"/>
      <c r="V54" s="5"/>
    </row>
    <row r="55" spans="1:33" ht="15.75" customHeight="1" x14ac:dyDescent="0.25">
      <c r="A55" s="5">
        <v>55</v>
      </c>
      <c r="B55" s="5">
        <v>11.2</v>
      </c>
      <c r="C55" s="5">
        <v>8</v>
      </c>
      <c r="D55" s="5">
        <v>62.2</v>
      </c>
      <c r="E55" s="5">
        <v>6.4</v>
      </c>
      <c r="F55" s="5">
        <v>1.5</v>
      </c>
      <c r="G55" s="5">
        <v>1.03</v>
      </c>
      <c r="H55" s="8">
        <f>(0.12*10^6*4)/(1.56*10^5*0.1)</f>
        <v>30.76923076923077</v>
      </c>
      <c r="I55" s="5">
        <v>560.9</v>
      </c>
      <c r="J55" s="5">
        <v>0.26100000000000001</v>
      </c>
      <c r="K55" s="5">
        <v>1</v>
      </c>
      <c r="M55" s="1"/>
      <c r="N55" s="5"/>
      <c r="O55" s="1"/>
      <c r="P55" s="4"/>
      <c r="Q55" s="4"/>
      <c r="R55" s="4"/>
      <c r="S55" s="4"/>
      <c r="T55" s="4"/>
      <c r="U55" s="4"/>
      <c r="V55" s="4"/>
      <c r="W55" s="4"/>
      <c r="X55" s="7"/>
      <c r="Y55" s="7"/>
      <c r="Z55" s="7"/>
      <c r="AA55" s="7"/>
      <c r="AB55" s="7"/>
      <c r="AC55" s="7"/>
      <c r="AD55" s="7"/>
      <c r="AE55" s="7"/>
      <c r="AF55" s="7"/>
      <c r="AG55" s="4"/>
    </row>
    <row r="56" spans="1:33" ht="15.75" customHeight="1" x14ac:dyDescent="0.25">
      <c r="A56" s="5">
        <v>56</v>
      </c>
      <c r="B56" s="5">
        <v>9.6</v>
      </c>
      <c r="C56" s="5">
        <v>8.6999999999999993</v>
      </c>
      <c r="D56" s="5">
        <v>41.5</v>
      </c>
      <c r="E56" s="5">
        <v>11.5</v>
      </c>
      <c r="F56" s="5">
        <v>3.8</v>
      </c>
      <c r="G56" s="5">
        <v>0.51</v>
      </c>
      <c r="H56" s="8">
        <f>(0.11*10^6*4)/(1.56*10^5*0.1)</f>
        <v>28.205128205128204</v>
      </c>
      <c r="I56" s="5">
        <v>125.6</v>
      </c>
      <c r="J56" s="5">
        <v>0.51100000000000001</v>
      </c>
      <c r="K56" s="5">
        <v>2</v>
      </c>
      <c r="M56" s="1"/>
      <c r="N56" s="5"/>
      <c r="O56" s="1"/>
      <c r="P56" s="4"/>
      <c r="Q56" s="4"/>
      <c r="R56" s="4"/>
      <c r="S56" s="4"/>
      <c r="T56" s="4"/>
      <c r="U56" s="4"/>
      <c r="V56" s="4"/>
      <c r="W56" s="4"/>
      <c r="X56" s="7"/>
      <c r="Y56" s="7"/>
      <c r="Z56" s="7"/>
      <c r="AA56" s="7"/>
      <c r="AB56" s="7"/>
      <c r="AC56" s="7"/>
      <c r="AD56" s="7"/>
      <c r="AE56" s="7"/>
      <c r="AF56" s="7"/>
      <c r="AG56" s="4"/>
    </row>
    <row r="57" spans="1:33" ht="15.75" customHeight="1" x14ac:dyDescent="0.25">
      <c r="A57" s="5">
        <v>57</v>
      </c>
      <c r="B57" s="5">
        <v>8</v>
      </c>
      <c r="C57" s="5">
        <v>6</v>
      </c>
      <c r="D57" s="5">
        <v>62.2</v>
      </c>
      <c r="E57" s="5">
        <v>7.7</v>
      </c>
      <c r="F57" s="5">
        <v>3</v>
      </c>
      <c r="G57" s="5">
        <v>2.56</v>
      </c>
      <c r="H57" s="8">
        <f>(0.13*10^6*4)/(1.56*10^5*0.1)</f>
        <v>33.333333333333336</v>
      </c>
      <c r="I57" s="5">
        <v>230</v>
      </c>
      <c r="J57" s="5">
        <v>0.189</v>
      </c>
      <c r="K57" s="5">
        <v>2</v>
      </c>
      <c r="N57" s="5"/>
      <c r="O57" s="1"/>
      <c r="U57" s="14"/>
      <c r="V57" s="7"/>
      <c r="W57" s="4"/>
      <c r="X57" s="7"/>
      <c r="Y57" s="7"/>
      <c r="Z57" s="7"/>
      <c r="AA57" s="7"/>
      <c r="AB57" s="7"/>
      <c r="AC57" s="7"/>
      <c r="AD57" s="7"/>
      <c r="AE57" s="7"/>
      <c r="AF57" s="7"/>
      <c r="AG57" s="4"/>
    </row>
    <row r="58" spans="1:33" ht="15.75" customHeight="1" x14ac:dyDescent="0.25">
      <c r="A58" s="5">
        <v>58</v>
      </c>
      <c r="B58" s="5">
        <v>4.8</v>
      </c>
      <c r="C58" s="5">
        <v>8</v>
      </c>
      <c r="D58" s="5">
        <v>47</v>
      </c>
      <c r="E58" s="5">
        <v>7.7</v>
      </c>
      <c r="F58" s="5">
        <v>7.8</v>
      </c>
      <c r="G58" s="5">
        <v>2.0499999999999998</v>
      </c>
      <c r="H58" s="8">
        <v>28.205128205128201</v>
      </c>
      <c r="I58" s="5">
        <v>150</v>
      </c>
      <c r="J58" s="5">
        <v>0.15</v>
      </c>
      <c r="K58" s="6">
        <v>3</v>
      </c>
      <c r="N58" s="5"/>
      <c r="O58" s="1"/>
      <c r="U58" s="2"/>
      <c r="V58" s="3"/>
      <c r="W58" s="3"/>
      <c r="X58" s="3"/>
      <c r="Y58" s="3"/>
      <c r="Z58" s="4"/>
      <c r="AA58" s="4"/>
      <c r="AB58" s="4"/>
      <c r="AC58" s="4"/>
      <c r="AD58" s="4"/>
      <c r="AE58" s="4"/>
      <c r="AF58" s="4"/>
      <c r="AG58" s="3"/>
    </row>
    <row r="59" spans="1:33" ht="15.75" customHeight="1" x14ac:dyDescent="0.25">
      <c r="A59" s="5">
        <v>59</v>
      </c>
      <c r="B59" s="5">
        <v>2</v>
      </c>
      <c r="C59" s="5">
        <v>5.3</v>
      </c>
      <c r="D59" s="5">
        <v>75.2</v>
      </c>
      <c r="E59" s="5">
        <v>4.9000000000000004</v>
      </c>
      <c r="F59" s="5">
        <v>5.8</v>
      </c>
      <c r="G59" s="5">
        <v>1.03</v>
      </c>
      <c r="H59" s="8">
        <v>29.4871794871795</v>
      </c>
      <c r="I59" s="8">
        <v>270</v>
      </c>
      <c r="J59" s="5">
        <v>0.21099999999999999</v>
      </c>
      <c r="K59" s="5">
        <v>0</v>
      </c>
      <c r="N59" s="5"/>
      <c r="O59" s="1"/>
      <c r="U59" s="1"/>
      <c r="V59" s="5"/>
      <c r="W59" s="5"/>
      <c r="X59" s="5"/>
      <c r="Y59" s="8"/>
      <c r="Z59" s="7"/>
      <c r="AA59" s="7"/>
      <c r="AB59" s="7"/>
      <c r="AC59" s="7"/>
      <c r="AD59" s="7"/>
      <c r="AE59" s="7"/>
      <c r="AF59" s="7"/>
      <c r="AG59" s="5"/>
    </row>
    <row r="60" spans="1:33" ht="15.75" customHeight="1" x14ac:dyDescent="0.25">
      <c r="A60" s="5">
        <v>60</v>
      </c>
      <c r="B60" s="5">
        <v>7.6</v>
      </c>
      <c r="C60" s="5">
        <v>4.7</v>
      </c>
      <c r="D60" s="5">
        <v>65</v>
      </c>
      <c r="E60" s="5">
        <v>10.9</v>
      </c>
      <c r="F60" s="5">
        <v>2</v>
      </c>
      <c r="G60" s="5">
        <v>3.58</v>
      </c>
      <c r="H60" s="8">
        <f>(0.1*10^6*4)/(1.56*10^5*0.1)</f>
        <v>25.641025641025642</v>
      </c>
      <c r="I60" s="5">
        <v>404.13</v>
      </c>
      <c r="J60" s="5">
        <v>0.370714285714286</v>
      </c>
      <c r="K60" s="5">
        <v>2</v>
      </c>
      <c r="N60" s="5"/>
      <c r="O60" s="1"/>
      <c r="U60" s="1"/>
      <c r="V60" s="5"/>
      <c r="W60" s="5"/>
      <c r="X60" s="5"/>
      <c r="Y60" s="8"/>
      <c r="Z60" s="9"/>
      <c r="AA60" s="9"/>
      <c r="AB60" s="9"/>
      <c r="AC60" s="9"/>
      <c r="AD60" s="9"/>
      <c r="AE60" s="9"/>
      <c r="AF60" s="9"/>
      <c r="AG60" s="5"/>
    </row>
    <row r="61" spans="1:33" ht="15.75" customHeight="1" x14ac:dyDescent="0.25">
      <c r="A61" s="5">
        <v>61</v>
      </c>
      <c r="B61" s="5">
        <v>0.8</v>
      </c>
      <c r="C61" s="5">
        <v>4.5999999999999996</v>
      </c>
      <c r="D61" s="5">
        <v>77</v>
      </c>
      <c r="E61" s="5">
        <v>6.7</v>
      </c>
      <c r="F61" s="5">
        <v>3.8</v>
      </c>
      <c r="G61" s="5">
        <v>1.53</v>
      </c>
      <c r="H61" s="8">
        <v>33.3333333333333</v>
      </c>
      <c r="I61" s="8">
        <v>235.416666666667</v>
      </c>
      <c r="J61" s="5">
        <v>0.18099999999999999</v>
      </c>
      <c r="K61" s="5">
        <v>0</v>
      </c>
      <c r="N61" s="5"/>
      <c r="O61" s="1"/>
      <c r="U61" s="1"/>
      <c r="V61" s="5"/>
      <c r="W61" s="5"/>
      <c r="X61" s="5"/>
      <c r="Y61" s="8"/>
      <c r="Z61" s="9"/>
      <c r="AA61" s="9"/>
      <c r="AB61" s="9"/>
      <c r="AC61" s="9"/>
      <c r="AD61" s="9"/>
      <c r="AE61" s="9"/>
      <c r="AF61" s="9"/>
      <c r="AG61" s="5"/>
    </row>
    <row r="62" spans="1:33" ht="15.75" customHeight="1" x14ac:dyDescent="0.25">
      <c r="A62" s="5">
        <v>62</v>
      </c>
      <c r="B62" s="5">
        <v>9.6</v>
      </c>
      <c r="C62" s="5">
        <v>9.3000000000000007</v>
      </c>
      <c r="D62" s="5">
        <v>75.2</v>
      </c>
      <c r="E62" s="5">
        <v>10.9</v>
      </c>
      <c r="F62" s="5">
        <v>3.8</v>
      </c>
      <c r="G62" s="5">
        <v>1.53</v>
      </c>
      <c r="H62" s="8">
        <f>(0.1*10^6*4)/(1.56*10^5*0.1)</f>
        <v>25.641025641025642</v>
      </c>
      <c r="I62" s="5">
        <v>222.42</v>
      </c>
      <c r="J62" s="5">
        <v>0.34200000000000003</v>
      </c>
      <c r="K62" s="5">
        <v>1</v>
      </c>
      <c r="N62" s="5"/>
      <c r="O62" s="1"/>
      <c r="U62" s="1"/>
      <c r="V62" s="5"/>
      <c r="W62" s="5"/>
      <c r="X62" s="5"/>
      <c r="Y62" s="8"/>
      <c r="Z62" s="9"/>
      <c r="AA62" s="9"/>
      <c r="AB62" s="9"/>
      <c r="AC62" s="9"/>
      <c r="AD62" s="9"/>
      <c r="AE62" s="9"/>
      <c r="AF62" s="9"/>
      <c r="AG62" s="5"/>
    </row>
    <row r="63" spans="1:33" ht="15.75" customHeight="1" x14ac:dyDescent="0.25">
      <c r="A63" s="5">
        <v>63</v>
      </c>
      <c r="B63" s="5">
        <v>10</v>
      </c>
      <c r="C63" s="5">
        <v>6</v>
      </c>
      <c r="D63" s="5">
        <v>65</v>
      </c>
      <c r="E63" s="5">
        <v>8.9</v>
      </c>
      <c r="F63" s="5">
        <v>7.3</v>
      </c>
      <c r="G63" s="5">
        <v>1.03</v>
      </c>
      <c r="H63" s="8">
        <f>(0.13*10^6*4)/(1.56*10^5*0.1)</f>
        <v>33.333333333333336</v>
      </c>
      <c r="I63" s="5">
        <v>467.94</v>
      </c>
      <c r="J63" s="5">
        <v>0.25600000000000001</v>
      </c>
      <c r="K63" s="5">
        <v>1</v>
      </c>
      <c r="N63" s="5"/>
      <c r="O63" s="1"/>
      <c r="U63" s="1"/>
      <c r="V63" s="5"/>
      <c r="W63" s="5"/>
      <c r="X63" s="5"/>
      <c r="Y63" s="8"/>
      <c r="Z63" s="9"/>
      <c r="AA63" s="9"/>
      <c r="AB63" s="9"/>
      <c r="AC63" s="9"/>
      <c r="AD63" s="9"/>
      <c r="AE63" s="9"/>
      <c r="AF63" s="9"/>
      <c r="AG63" s="5"/>
    </row>
    <row r="64" spans="1:33" ht="15.75" customHeight="1" x14ac:dyDescent="0.25">
      <c r="A64" s="5">
        <v>64</v>
      </c>
      <c r="B64" s="5">
        <v>5.2</v>
      </c>
      <c r="C64" s="5">
        <v>8</v>
      </c>
      <c r="D64" s="5">
        <v>41.5</v>
      </c>
      <c r="E64" s="5">
        <v>8.9</v>
      </c>
      <c r="F64" s="5">
        <v>2.6</v>
      </c>
      <c r="G64" s="5">
        <v>1.53</v>
      </c>
      <c r="H64" s="8">
        <f>(0.13*10^6*4)/(1.56*10^5*0.1)</f>
        <v>33.333333333333336</v>
      </c>
      <c r="I64" s="5">
        <v>373.44</v>
      </c>
      <c r="J64" s="5">
        <v>0.29699999999999999</v>
      </c>
      <c r="K64" s="5">
        <v>2</v>
      </c>
      <c r="N64" s="5"/>
      <c r="O64" s="1"/>
      <c r="U64" s="1"/>
      <c r="V64" s="5"/>
      <c r="W64" s="5"/>
      <c r="X64" s="5"/>
      <c r="Y64" s="8"/>
      <c r="Z64" s="9"/>
      <c r="AA64" s="9"/>
      <c r="AB64" s="9"/>
      <c r="AC64" s="9"/>
      <c r="AD64" s="9"/>
      <c r="AE64" s="9"/>
      <c r="AF64" s="9"/>
      <c r="AG64" s="5"/>
    </row>
    <row r="65" spans="1:33" ht="15.75" customHeight="1" x14ac:dyDescent="0.25">
      <c r="A65"/>
      <c r="N65" s="5"/>
      <c r="O65" s="1"/>
      <c r="U65" s="1"/>
      <c r="V65" s="5"/>
      <c r="W65" s="5"/>
      <c r="X65" s="5"/>
      <c r="Y65" s="8"/>
      <c r="Z65" s="9"/>
      <c r="AA65" s="9"/>
      <c r="AB65" s="9"/>
      <c r="AC65" s="9"/>
      <c r="AD65" s="9"/>
      <c r="AE65" s="9"/>
      <c r="AF65" s="9"/>
      <c r="AG65" s="5"/>
    </row>
    <row r="66" spans="1:33" ht="15.75" customHeight="1" x14ac:dyDescent="0.25">
      <c r="N66" s="5"/>
      <c r="O66" s="1"/>
      <c r="U66" s="1"/>
      <c r="V66" s="5"/>
      <c r="W66" s="5"/>
      <c r="X66" s="5"/>
      <c r="Y66" s="8"/>
      <c r="Z66" s="9"/>
      <c r="AA66" s="9"/>
      <c r="AB66" s="9"/>
      <c r="AC66" s="9"/>
      <c r="AD66" s="9"/>
      <c r="AE66" s="9"/>
      <c r="AF66" s="9"/>
      <c r="AG66" s="5"/>
    </row>
    <row r="67" spans="1:33" ht="15.75" customHeight="1" x14ac:dyDescent="0.25">
      <c r="U67" s="1"/>
      <c r="V67" s="5"/>
      <c r="W67" s="5"/>
      <c r="X67" s="5"/>
      <c r="Y67" s="8"/>
      <c r="Z67" s="9"/>
      <c r="AA67" s="9"/>
      <c r="AB67" s="9"/>
      <c r="AC67" s="9"/>
      <c r="AD67" s="9"/>
      <c r="AE67" s="9"/>
      <c r="AF67" s="9"/>
      <c r="AG67" s="5"/>
    </row>
    <row r="68" spans="1:33" ht="15.75" customHeight="1" x14ac:dyDescent="0.25">
      <c r="U68" s="1"/>
      <c r="V68" s="5"/>
      <c r="W68" s="5"/>
      <c r="X68" s="5"/>
      <c r="Y68" s="8"/>
      <c r="Z68" s="9"/>
      <c r="AA68" s="9"/>
      <c r="AB68" s="9"/>
      <c r="AC68" s="9"/>
      <c r="AD68" s="9"/>
      <c r="AE68" s="9"/>
      <c r="AF68" s="9"/>
      <c r="AG68" s="5"/>
    </row>
    <row r="69" spans="1:33" ht="15.75" customHeight="1" x14ac:dyDescent="0.25">
      <c r="U69" s="1"/>
      <c r="V69" s="5"/>
      <c r="W69" s="5"/>
      <c r="X69" s="5"/>
      <c r="Y69" s="8"/>
      <c r="Z69" s="9"/>
      <c r="AA69" s="9"/>
      <c r="AB69" s="9"/>
      <c r="AC69" s="9"/>
      <c r="AD69" s="9"/>
      <c r="AE69" s="9"/>
      <c r="AF69" s="9"/>
      <c r="AG69" s="5"/>
    </row>
    <row r="70" spans="1:33" ht="15.75" customHeight="1" x14ac:dyDescent="0.25">
      <c r="U70" s="1"/>
      <c r="V70" s="5"/>
      <c r="W70" s="5"/>
      <c r="X70" s="5"/>
      <c r="Y70" s="8"/>
      <c r="Z70" s="9"/>
      <c r="AA70" s="9"/>
      <c r="AB70" s="9"/>
      <c r="AC70" s="9"/>
      <c r="AD70" s="9"/>
      <c r="AE70" s="9"/>
      <c r="AF70" s="9"/>
      <c r="AG70" s="5"/>
    </row>
    <row r="71" spans="1:33" ht="15.75" customHeight="1" x14ac:dyDescent="0.25">
      <c r="U71" s="1"/>
      <c r="V71" s="5"/>
      <c r="W71" s="5"/>
      <c r="X71" s="5"/>
      <c r="Y71" s="8"/>
      <c r="Z71" s="9"/>
      <c r="AA71" s="9"/>
      <c r="AB71" s="9"/>
      <c r="AC71" s="9"/>
      <c r="AD71" s="9"/>
      <c r="AE71" s="9"/>
      <c r="AF71" s="9"/>
      <c r="AG71" s="5"/>
    </row>
    <row r="72" spans="1:33" ht="15.75" customHeight="1" x14ac:dyDescent="0.25">
      <c r="U72" s="1"/>
      <c r="V72" s="5"/>
      <c r="W72" s="5"/>
      <c r="X72" s="5"/>
      <c r="Y72" s="8"/>
      <c r="Z72" s="9"/>
      <c r="AA72" s="9"/>
      <c r="AB72" s="9"/>
      <c r="AC72" s="9"/>
      <c r="AD72" s="9"/>
      <c r="AE72" s="9"/>
      <c r="AF72" s="9"/>
      <c r="AG72" s="5"/>
    </row>
    <row r="73" spans="1:33" ht="15.75" customHeight="1" x14ac:dyDescent="0.25">
      <c r="U73" s="1"/>
      <c r="V73" s="5"/>
      <c r="W73" s="5"/>
      <c r="X73" s="5"/>
      <c r="Y73" s="8"/>
      <c r="Z73" s="9"/>
      <c r="AA73" s="9"/>
      <c r="AB73" s="9"/>
      <c r="AC73" s="9"/>
      <c r="AD73" s="9"/>
      <c r="AE73" s="9"/>
      <c r="AF73" s="9"/>
      <c r="AG73" s="5"/>
    </row>
    <row r="74" spans="1:33" ht="15.75" customHeight="1" x14ac:dyDescent="0.25">
      <c r="U74" s="1"/>
      <c r="V74" s="5"/>
      <c r="W74" s="5"/>
      <c r="X74" s="5"/>
      <c r="Y74" s="8"/>
      <c r="Z74" s="9"/>
      <c r="AA74" s="9"/>
      <c r="AB74" s="9"/>
      <c r="AC74" s="9"/>
      <c r="AD74" s="9"/>
      <c r="AE74" s="9"/>
      <c r="AF74" s="9"/>
      <c r="AG74" s="5"/>
    </row>
    <row r="75" spans="1:33" ht="15.75" customHeight="1" x14ac:dyDescent="0.25">
      <c r="U75" s="1"/>
      <c r="V75" s="5"/>
      <c r="W75" s="5"/>
      <c r="X75" s="5"/>
      <c r="Y75" s="8"/>
      <c r="Z75" s="9"/>
      <c r="AA75" s="9"/>
      <c r="AB75" s="9"/>
      <c r="AC75" s="9"/>
      <c r="AD75" s="9"/>
      <c r="AE75" s="9"/>
      <c r="AF75" s="9"/>
      <c r="AG75" s="5"/>
    </row>
    <row r="76" spans="1:33" ht="15.75" customHeight="1" x14ac:dyDescent="0.25">
      <c r="U76" s="1"/>
      <c r="V76" s="5"/>
      <c r="W76" s="5"/>
      <c r="X76" s="5"/>
      <c r="Y76" s="8"/>
      <c r="Z76" s="9"/>
      <c r="AA76" s="9"/>
      <c r="AB76" s="9"/>
      <c r="AC76" s="9"/>
      <c r="AD76" s="9"/>
      <c r="AE76" s="9"/>
      <c r="AF76" s="9"/>
      <c r="AG76" s="5"/>
    </row>
    <row r="77" spans="1:33" ht="15.75" customHeight="1" x14ac:dyDescent="0.25">
      <c r="U77" s="1"/>
      <c r="V77" s="5"/>
      <c r="W77" s="5"/>
      <c r="X77" s="5"/>
      <c r="Y77" s="8"/>
      <c r="Z77" s="9"/>
      <c r="AA77" s="9"/>
      <c r="AB77" s="9"/>
      <c r="AC77" s="9"/>
      <c r="AD77" s="9"/>
      <c r="AE77" s="9"/>
      <c r="AF77" s="9"/>
      <c r="AG77" s="5"/>
    </row>
    <row r="78" spans="1:33" ht="15.75" customHeight="1" x14ac:dyDescent="0.25">
      <c r="U78" s="1"/>
      <c r="V78" s="5"/>
      <c r="W78" s="5"/>
      <c r="X78" s="5"/>
      <c r="Y78" s="8"/>
      <c r="Z78" s="9"/>
      <c r="AA78" s="9"/>
      <c r="AB78" s="9"/>
      <c r="AC78" s="9"/>
      <c r="AD78" s="9"/>
      <c r="AE78" s="9"/>
      <c r="AF78" s="9"/>
      <c r="AG78" s="5"/>
    </row>
    <row r="79" spans="1:33" ht="15.75" customHeight="1" x14ac:dyDescent="0.25">
      <c r="U79" s="1"/>
      <c r="V79" s="5"/>
      <c r="W79" s="5"/>
      <c r="X79" s="5"/>
      <c r="Y79" s="8"/>
      <c r="Z79" s="9"/>
      <c r="AA79" s="9"/>
      <c r="AB79" s="9"/>
      <c r="AC79" s="9"/>
      <c r="AD79" s="9"/>
      <c r="AE79" s="9"/>
      <c r="AF79" s="9"/>
      <c r="AG79" s="5"/>
    </row>
    <row r="80" spans="1:33" ht="15.75" customHeight="1" x14ac:dyDescent="0.25">
      <c r="U80" s="1"/>
      <c r="V80" s="5"/>
      <c r="W80" s="5"/>
      <c r="X80" s="5"/>
      <c r="Y80" s="8"/>
      <c r="Z80" s="9"/>
      <c r="AA80" s="9"/>
      <c r="AB80" s="9"/>
      <c r="AC80" s="9"/>
      <c r="AD80" s="9"/>
      <c r="AE80" s="9"/>
      <c r="AF80" s="9"/>
      <c r="AG80" s="5"/>
    </row>
    <row r="81" spans="21:33" ht="15.75" customHeight="1" x14ac:dyDescent="0.25">
      <c r="U81" s="1"/>
      <c r="V81" s="5"/>
      <c r="W81" s="5"/>
      <c r="X81" s="5"/>
      <c r="Y81" s="8"/>
      <c r="Z81" s="9"/>
      <c r="AA81" s="9"/>
      <c r="AB81" s="9"/>
      <c r="AC81" s="9"/>
      <c r="AD81" s="9"/>
      <c r="AE81" s="9"/>
      <c r="AF81" s="9"/>
      <c r="AG81" s="5"/>
    </row>
    <row r="82" spans="21:33" ht="15.75" customHeight="1" x14ac:dyDescent="0.25">
      <c r="U82" s="1"/>
      <c r="V82" s="5"/>
      <c r="W82" s="5"/>
      <c r="X82" s="5"/>
      <c r="Y82" s="8"/>
      <c r="Z82" s="9"/>
      <c r="AA82" s="9"/>
      <c r="AB82" s="9"/>
      <c r="AC82" s="9"/>
      <c r="AD82" s="9"/>
      <c r="AE82" s="9"/>
      <c r="AF82" s="9"/>
      <c r="AG82" s="5"/>
    </row>
    <row r="83" spans="21:33" ht="15.75" customHeight="1" x14ac:dyDescent="0.25">
      <c r="U83" s="1"/>
      <c r="V83" s="5"/>
      <c r="W83" s="5"/>
      <c r="X83" s="5"/>
      <c r="Y83" s="8"/>
      <c r="Z83" s="9"/>
      <c r="AA83" s="9"/>
      <c r="AB83" s="9"/>
      <c r="AC83" s="9"/>
      <c r="AD83" s="9"/>
      <c r="AE83" s="9"/>
      <c r="AF83" s="9"/>
      <c r="AG83" s="5"/>
    </row>
    <row r="84" spans="21:33" ht="15.75" customHeight="1" x14ac:dyDescent="0.25"/>
    <row r="85" spans="21:33" ht="15.75" customHeight="1" x14ac:dyDescent="0.25"/>
    <row r="86" spans="21:33" ht="15.75" customHeight="1" x14ac:dyDescent="0.25"/>
    <row r="87" spans="21:33" ht="15.75" customHeight="1" x14ac:dyDescent="0.25"/>
    <row r="88" spans="21:33" ht="15.75" customHeight="1" x14ac:dyDescent="0.25"/>
    <row r="89" spans="21:33" ht="15.75" customHeight="1" x14ac:dyDescent="0.25"/>
    <row r="90" spans="21:33" ht="15.75" customHeight="1" x14ac:dyDescent="0.25"/>
    <row r="91" spans="21:33" ht="15.75" customHeight="1" x14ac:dyDescent="0.25"/>
    <row r="92" spans="21:33" ht="15.75" customHeight="1" x14ac:dyDescent="0.25"/>
    <row r="93" spans="21:33" ht="15.75" customHeight="1" x14ac:dyDescent="0.25"/>
    <row r="94" spans="21:33" ht="15.75" customHeight="1" x14ac:dyDescent="0.25"/>
    <row r="95" spans="21:33" ht="15.75" customHeight="1" x14ac:dyDescent="0.25"/>
    <row r="96" spans="21:33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spans="4:12" ht="15.75" customHeight="1" x14ac:dyDescent="0.25"/>
    <row r="114" spans="4:12" ht="15.75" customHeight="1" x14ac:dyDescent="0.25"/>
    <row r="115" spans="4:12" ht="15.75" customHeight="1" x14ac:dyDescent="0.25"/>
    <row r="116" spans="4:12" ht="15.75" customHeight="1" x14ac:dyDescent="0.25"/>
    <row r="117" spans="4:12" ht="15.75" customHeight="1" x14ac:dyDescent="0.25"/>
    <row r="118" spans="4:12" ht="15.75" customHeight="1" x14ac:dyDescent="0.25"/>
    <row r="119" spans="4:12" ht="15.75" customHeight="1" x14ac:dyDescent="0.25"/>
    <row r="120" spans="4:12" ht="15.75" customHeight="1" x14ac:dyDescent="0.25"/>
    <row r="121" spans="4:12" ht="15.75" customHeight="1" x14ac:dyDescent="0.25">
      <c r="D121" s="9"/>
      <c r="E121" s="9"/>
      <c r="F121" s="9"/>
      <c r="G121" s="9"/>
      <c r="H121" s="11"/>
      <c r="I121" s="9"/>
      <c r="J121" s="10"/>
      <c r="K121" s="9"/>
      <c r="L121" s="9"/>
    </row>
    <row r="122" spans="4:12" ht="15.75" customHeight="1" x14ac:dyDescent="0.25">
      <c r="D122" s="5"/>
      <c r="E122" s="8"/>
      <c r="F122" s="9"/>
      <c r="G122" s="9"/>
      <c r="H122" s="9"/>
      <c r="I122" s="9"/>
      <c r="J122" s="9"/>
      <c r="K122" s="9"/>
      <c r="L122" s="9"/>
    </row>
    <row r="123" spans="4:12" ht="15.75" customHeight="1" x14ac:dyDescent="0.25">
      <c r="D123" s="5"/>
      <c r="E123" s="8"/>
      <c r="F123" s="9"/>
      <c r="G123" s="9"/>
      <c r="H123" s="9"/>
      <c r="I123" s="9"/>
      <c r="J123" s="9"/>
      <c r="K123" s="9"/>
      <c r="L123" s="9"/>
    </row>
    <row r="124" spans="4:12" ht="15.75" customHeight="1" x14ac:dyDescent="0.25">
      <c r="D124" s="5"/>
      <c r="E124" s="8"/>
      <c r="F124" s="9"/>
      <c r="G124" s="9"/>
      <c r="H124" s="9"/>
      <c r="I124" s="9"/>
      <c r="J124" s="9"/>
      <c r="K124" s="9"/>
      <c r="L124" s="9"/>
    </row>
    <row r="125" spans="4:12" ht="15.75" customHeight="1" x14ac:dyDescent="0.25">
      <c r="D125" s="5"/>
      <c r="E125" s="8"/>
      <c r="F125" s="9"/>
      <c r="G125" s="9"/>
      <c r="H125" s="9"/>
      <c r="I125" s="9"/>
      <c r="J125" s="9"/>
      <c r="K125" s="9"/>
      <c r="L125" s="9"/>
    </row>
    <row r="126" spans="4:12" ht="15.75" customHeight="1" x14ac:dyDescent="0.25">
      <c r="D126" s="5"/>
      <c r="E126" s="8"/>
      <c r="F126" s="9"/>
      <c r="G126" s="9"/>
      <c r="H126" s="9"/>
      <c r="I126" s="9"/>
      <c r="J126" s="9"/>
      <c r="K126" s="9"/>
      <c r="L126" s="9"/>
    </row>
    <row r="127" spans="4:12" ht="15.75" customHeight="1" x14ac:dyDescent="0.25">
      <c r="D127" s="5"/>
      <c r="E127" s="8"/>
      <c r="F127" s="9"/>
      <c r="G127" s="9"/>
      <c r="H127" s="9"/>
      <c r="I127" s="9"/>
      <c r="J127" s="9"/>
      <c r="K127" s="9"/>
      <c r="L127" s="9"/>
    </row>
    <row r="128" spans="4:12" ht="15.75" customHeight="1" x14ac:dyDescent="0.25">
      <c r="D128" s="5"/>
      <c r="E128" s="8"/>
      <c r="F128" s="9"/>
      <c r="G128" s="9"/>
      <c r="H128" s="9"/>
      <c r="I128" s="9"/>
      <c r="J128" s="9"/>
      <c r="K128" s="9"/>
      <c r="L128" s="9"/>
    </row>
    <row r="129" spans="4:12" ht="15.75" customHeight="1" x14ac:dyDescent="0.25">
      <c r="D129" s="5"/>
      <c r="E129" s="8"/>
      <c r="F129" s="9"/>
      <c r="G129" s="9"/>
      <c r="H129" s="9"/>
      <c r="I129" s="9"/>
      <c r="J129" s="9"/>
      <c r="K129" s="9"/>
      <c r="L129" s="9"/>
    </row>
    <row r="130" spans="4:12" ht="15.75" customHeight="1" x14ac:dyDescent="0.25">
      <c r="D130" s="5"/>
      <c r="E130" s="8"/>
      <c r="F130" s="9"/>
      <c r="G130" s="9"/>
      <c r="H130" s="9"/>
      <c r="I130" s="9"/>
      <c r="J130" s="9"/>
      <c r="K130" s="9"/>
      <c r="L130" s="9"/>
    </row>
    <row r="131" spans="4:12" ht="15.75" customHeight="1" x14ac:dyDescent="0.25">
      <c r="D131" s="5"/>
      <c r="E131" s="8"/>
      <c r="F131" s="9"/>
      <c r="G131" s="9"/>
      <c r="H131" s="9"/>
      <c r="I131" s="9"/>
      <c r="J131" s="9"/>
      <c r="K131" s="9"/>
      <c r="L131" s="9"/>
    </row>
    <row r="132" spans="4:12" ht="15.75" customHeight="1" x14ac:dyDescent="0.25">
      <c r="D132" s="5"/>
      <c r="E132" s="8"/>
      <c r="F132" s="9"/>
      <c r="G132" s="9"/>
      <c r="H132" s="9"/>
      <c r="I132" s="9"/>
      <c r="J132" s="9"/>
      <c r="K132" s="9"/>
      <c r="L132" s="9"/>
    </row>
    <row r="133" spans="4:12" ht="15.75" customHeight="1" x14ac:dyDescent="0.25">
      <c r="D133" s="5"/>
      <c r="E133" s="8"/>
      <c r="F133" s="9"/>
      <c r="G133" s="9"/>
      <c r="H133" s="9"/>
      <c r="I133" s="9"/>
      <c r="J133" s="9"/>
      <c r="K133" s="9"/>
      <c r="L133" s="9"/>
    </row>
    <row r="134" spans="4:12" ht="15.75" customHeight="1" x14ac:dyDescent="0.25">
      <c r="D134" s="5"/>
      <c r="E134" s="8"/>
      <c r="F134" s="9"/>
      <c r="G134" s="9"/>
      <c r="H134" s="9"/>
      <c r="I134" s="9"/>
      <c r="J134" s="9"/>
      <c r="K134" s="9"/>
      <c r="L134" s="9"/>
    </row>
    <row r="135" spans="4:12" ht="15.75" customHeight="1" x14ac:dyDescent="0.25">
      <c r="D135" s="5"/>
      <c r="E135" s="8"/>
      <c r="F135" s="9"/>
      <c r="G135" s="9"/>
      <c r="H135" s="9"/>
      <c r="I135" s="9"/>
      <c r="J135" s="9"/>
      <c r="K135" s="9"/>
      <c r="L135" s="9"/>
    </row>
    <row r="136" spans="4:12" ht="15.75" customHeight="1" x14ac:dyDescent="0.25">
      <c r="D136" s="5"/>
      <c r="E136" s="8"/>
      <c r="F136" s="9"/>
      <c r="G136" s="9"/>
      <c r="H136" s="9"/>
      <c r="I136" s="9"/>
      <c r="J136" s="9"/>
      <c r="K136" s="9"/>
      <c r="L136" s="9"/>
    </row>
    <row r="137" spans="4:12" ht="15.75" customHeight="1" x14ac:dyDescent="0.25">
      <c r="D137" s="5"/>
      <c r="E137" s="8"/>
      <c r="F137" s="9"/>
      <c r="G137" s="9"/>
      <c r="H137" s="9"/>
      <c r="I137" s="9"/>
      <c r="J137" s="9"/>
      <c r="K137" s="9"/>
      <c r="L137" s="9"/>
    </row>
    <row r="138" spans="4:12" ht="15.75" customHeight="1" x14ac:dyDescent="0.25">
      <c r="D138" s="5"/>
      <c r="E138" s="8"/>
      <c r="F138" s="9"/>
      <c r="G138" s="9"/>
      <c r="H138" s="9"/>
      <c r="I138" s="9"/>
      <c r="J138" s="9"/>
      <c r="K138" s="9"/>
      <c r="L138" s="9"/>
    </row>
    <row r="139" spans="4:12" ht="15.75" customHeight="1" x14ac:dyDescent="0.25">
      <c r="D139" s="5"/>
      <c r="E139" s="8"/>
      <c r="F139" s="9"/>
      <c r="G139" s="9"/>
      <c r="H139" s="9"/>
      <c r="I139" s="9"/>
      <c r="J139" s="9"/>
      <c r="K139" s="9"/>
      <c r="L139" s="9"/>
    </row>
    <row r="140" spans="4:12" ht="15.75" customHeight="1" x14ac:dyDescent="0.25">
      <c r="D140" s="5"/>
      <c r="E140" s="8"/>
      <c r="F140" s="9"/>
      <c r="G140" s="9"/>
      <c r="H140" s="9"/>
      <c r="I140" s="9"/>
      <c r="J140" s="9"/>
      <c r="K140" s="9"/>
      <c r="L140" s="9"/>
    </row>
    <row r="141" spans="4:12" ht="15.75" customHeight="1" x14ac:dyDescent="0.25">
      <c r="D141" s="5"/>
      <c r="E141" s="8"/>
      <c r="F141" s="9"/>
      <c r="G141" s="9"/>
      <c r="H141" s="9"/>
      <c r="I141" s="9"/>
      <c r="J141" s="9"/>
      <c r="K141" s="9"/>
      <c r="L141" s="9"/>
    </row>
    <row r="142" spans="4:12" ht="15.75" customHeight="1" x14ac:dyDescent="0.25">
      <c r="D142" s="5"/>
      <c r="E142" s="8"/>
      <c r="F142" s="9"/>
      <c r="G142" s="9"/>
      <c r="H142" s="9"/>
      <c r="I142" s="9"/>
      <c r="J142" s="9"/>
      <c r="K142" s="9"/>
      <c r="L142" s="9"/>
    </row>
    <row r="143" spans="4:12" ht="15.75" customHeight="1" x14ac:dyDescent="0.25">
      <c r="D143" s="5"/>
      <c r="E143" s="8"/>
      <c r="F143" s="9"/>
      <c r="G143" s="9"/>
      <c r="H143" s="9"/>
      <c r="I143" s="9"/>
      <c r="J143" s="9"/>
      <c r="K143" s="9"/>
      <c r="L143" s="9"/>
    </row>
    <row r="144" spans="4:12" ht="15.75" customHeight="1" x14ac:dyDescent="0.25">
      <c r="D144" s="5"/>
      <c r="E144" s="8"/>
      <c r="F144" s="9"/>
      <c r="G144" s="9"/>
      <c r="H144" s="9"/>
      <c r="I144" s="9"/>
      <c r="J144" s="9"/>
      <c r="K144" s="9"/>
      <c r="L144" s="9"/>
    </row>
    <row r="145" spans="4:12" ht="15.75" customHeight="1" x14ac:dyDescent="0.25">
      <c r="D145" s="5"/>
      <c r="E145" s="8"/>
      <c r="F145" s="9"/>
      <c r="G145" s="9"/>
      <c r="H145" s="9"/>
      <c r="I145" s="9"/>
      <c r="J145" s="9"/>
      <c r="K145" s="9"/>
      <c r="L145" s="9"/>
    </row>
    <row r="146" spans="4:12" ht="15.75" customHeight="1" x14ac:dyDescent="0.25">
      <c r="D146" s="5"/>
      <c r="E146" s="8"/>
      <c r="F146" s="9"/>
      <c r="G146" s="9"/>
      <c r="H146" s="9"/>
      <c r="I146" s="9"/>
      <c r="J146" s="9"/>
      <c r="K146" s="9"/>
      <c r="L146" s="9"/>
    </row>
    <row r="147" spans="4:12" ht="15.75" customHeight="1" x14ac:dyDescent="0.25">
      <c r="D147" s="5"/>
      <c r="E147" s="8"/>
      <c r="F147" s="9"/>
      <c r="G147" s="9"/>
      <c r="H147" s="9"/>
      <c r="I147" s="9"/>
      <c r="J147" s="9"/>
      <c r="K147" s="9"/>
      <c r="L147" s="9"/>
    </row>
    <row r="148" spans="4:12" ht="15.75" customHeight="1" x14ac:dyDescent="0.25">
      <c r="D148" s="5"/>
      <c r="E148" s="8"/>
      <c r="F148" s="9"/>
      <c r="G148" s="9"/>
      <c r="H148" s="9"/>
      <c r="I148" s="9"/>
      <c r="J148" s="9"/>
      <c r="K148" s="9"/>
      <c r="L148" s="9"/>
    </row>
    <row r="149" spans="4:12" ht="15.75" customHeight="1" x14ac:dyDescent="0.25">
      <c r="D149" s="5"/>
      <c r="E149" s="8"/>
      <c r="F149" s="9"/>
      <c r="G149" s="9"/>
      <c r="H149" s="9"/>
      <c r="I149" s="9"/>
      <c r="J149" s="9"/>
      <c r="K149" s="9"/>
      <c r="L149" s="9"/>
    </row>
    <row r="150" spans="4:12" ht="15.75" customHeight="1" x14ac:dyDescent="0.25">
      <c r="D150" s="5"/>
      <c r="E150" s="8"/>
      <c r="F150" s="9"/>
      <c r="G150" s="9"/>
      <c r="H150" s="9"/>
      <c r="I150" s="9"/>
      <c r="J150" s="9"/>
      <c r="K150" s="9"/>
      <c r="L150" s="9"/>
    </row>
    <row r="151" spans="4:12" ht="15.75" customHeight="1" x14ac:dyDescent="0.25">
      <c r="D151" s="5"/>
      <c r="E151" s="8"/>
      <c r="F151" s="9"/>
      <c r="G151" s="9"/>
      <c r="H151" s="9"/>
      <c r="I151" s="9"/>
      <c r="J151" s="9"/>
      <c r="K151" s="9"/>
      <c r="L151" s="9"/>
    </row>
    <row r="152" spans="4:12" ht="15.75" customHeight="1" x14ac:dyDescent="0.25">
      <c r="D152" s="5"/>
      <c r="E152" s="8"/>
      <c r="F152" s="9"/>
      <c r="G152" s="9"/>
      <c r="H152" s="9"/>
      <c r="I152" s="9"/>
      <c r="J152" s="9"/>
      <c r="K152" s="9"/>
      <c r="L152" s="9"/>
    </row>
    <row r="153" spans="4:12" ht="15.75" customHeight="1" x14ac:dyDescent="0.25"/>
    <row r="154" spans="4:12" ht="15.75" customHeight="1" x14ac:dyDescent="0.25"/>
    <row r="155" spans="4:12" ht="15.75" customHeight="1" x14ac:dyDescent="0.25"/>
    <row r="156" spans="4:12" ht="15.75" customHeight="1" x14ac:dyDescent="0.25"/>
    <row r="157" spans="4:12" ht="15.75" customHeight="1" x14ac:dyDescent="0.25"/>
    <row r="158" spans="4:12" ht="15.75" customHeight="1" x14ac:dyDescent="0.25"/>
    <row r="159" spans="4:12" ht="15.75" customHeight="1" x14ac:dyDescent="0.25"/>
    <row r="160" spans="4:12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autoFilter ref="A1:K64"/>
  <pageMargins left="0.7" right="0.7" top="0.75" bottom="0.75" header="0.511811023622047" footer="0.511811023622047"/>
  <pageSetup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zoomScale="85" zoomScaleNormal="85" workbookViewId="0">
      <selection activeCell="B1" sqref="B1:F1"/>
    </sheetView>
  </sheetViews>
  <sheetFormatPr defaultColWidth="14.42578125" defaultRowHeight="15" customHeight="1" x14ac:dyDescent="0.25"/>
  <cols>
    <col min="1" max="1" width="18.28515625" style="1" customWidth="1"/>
    <col min="2" max="2" width="15.5703125" style="1" customWidth="1"/>
    <col min="3" max="3" width="16" style="1" customWidth="1"/>
    <col min="4" max="4" width="12.42578125" style="1" customWidth="1"/>
    <col min="5" max="5" width="8.7109375" style="1" customWidth="1"/>
    <col min="6" max="6" width="12.5703125" style="1" customWidth="1"/>
    <col min="7" max="14" width="8.7109375" style="1" customWidth="1"/>
    <col min="15" max="15" width="16.28515625" style="1" customWidth="1"/>
    <col min="16" max="17" width="8.7109375" style="1" customWidth="1"/>
    <col min="18" max="18" width="13.5703125" style="1" customWidth="1"/>
    <col min="19" max="19" width="8.7109375" style="1" customWidth="1"/>
    <col min="20" max="20" width="12.140625" style="1" customWidth="1"/>
    <col min="21" max="26" width="8.7109375" style="1" customWidth="1"/>
  </cols>
  <sheetData>
    <row r="1" spans="1:26" x14ac:dyDescent="0.25">
      <c r="A1" s="3" t="s">
        <v>2</v>
      </c>
      <c r="B1" s="5" t="s">
        <v>13</v>
      </c>
      <c r="C1" s="5" t="s">
        <v>14</v>
      </c>
      <c r="D1" s="5" t="s">
        <v>15</v>
      </c>
      <c r="E1" s="5" t="s">
        <v>16</v>
      </c>
      <c r="F1" s="5" t="s">
        <v>17</v>
      </c>
      <c r="G1" s="3" t="s">
        <v>1</v>
      </c>
      <c r="H1" s="10"/>
    </row>
    <row r="2" spans="1:26" ht="15" customHeight="1" x14ac:dyDescent="0.25">
      <c r="A2" s="5">
        <v>1</v>
      </c>
      <c r="B2" s="8">
        <v>19.309999999999999</v>
      </c>
      <c r="C2" s="8">
        <v>24.98</v>
      </c>
      <c r="D2" s="8">
        <v>34.26</v>
      </c>
      <c r="E2" s="8">
        <v>7.48</v>
      </c>
      <c r="F2" s="8">
        <v>13.97</v>
      </c>
      <c r="G2" s="5">
        <v>2</v>
      </c>
    </row>
    <row r="3" spans="1:26" s="4" customFormat="1" x14ac:dyDescent="0.25">
      <c r="A3" s="5">
        <v>2</v>
      </c>
      <c r="B3" s="8">
        <v>15.47</v>
      </c>
      <c r="C3" s="8">
        <v>20.05</v>
      </c>
      <c r="D3" s="8">
        <v>39.729999999999997</v>
      </c>
      <c r="E3" s="8">
        <v>13.42</v>
      </c>
      <c r="F3" s="8">
        <v>11.33</v>
      </c>
      <c r="G3" s="5">
        <v>2</v>
      </c>
      <c r="J3" s="5"/>
      <c r="K3" s="1"/>
      <c r="L3" s="1"/>
      <c r="M3" s="15"/>
      <c r="N3" s="1"/>
      <c r="O3" s="1"/>
      <c r="R3" s="16"/>
      <c r="S3" s="16"/>
      <c r="T3" s="16"/>
      <c r="U3" s="16"/>
      <c r="V3" s="16"/>
      <c r="W3" s="16"/>
      <c r="X3" s="16"/>
      <c r="Y3" s="16"/>
      <c r="Z3" s="16"/>
    </row>
    <row r="4" spans="1:26" s="4" customFormat="1" x14ac:dyDescent="0.25">
      <c r="A4" s="5">
        <v>3</v>
      </c>
      <c r="B4" s="8">
        <v>17.11</v>
      </c>
      <c r="C4" s="8">
        <v>38.29</v>
      </c>
      <c r="D4" s="8">
        <v>11.49</v>
      </c>
      <c r="E4" s="8">
        <v>18.14</v>
      </c>
      <c r="F4" s="8">
        <v>14.97</v>
      </c>
      <c r="G4" s="5">
        <v>2</v>
      </c>
      <c r="I4" s="16"/>
      <c r="J4" s="5"/>
      <c r="K4" s="1"/>
      <c r="M4" s="15"/>
      <c r="N4" s="1"/>
      <c r="O4" s="1"/>
      <c r="R4" s="16"/>
      <c r="S4" s="16"/>
      <c r="T4" s="16"/>
      <c r="U4" s="16"/>
      <c r="V4" s="16"/>
      <c r="W4" s="16"/>
      <c r="X4" s="16"/>
      <c r="Y4" s="16"/>
      <c r="Z4" s="16"/>
    </row>
    <row r="5" spans="1:26" x14ac:dyDescent="0.25">
      <c r="A5" s="5">
        <v>4</v>
      </c>
      <c r="B5" s="8">
        <v>15.16</v>
      </c>
      <c r="C5" s="8">
        <v>21.94</v>
      </c>
      <c r="D5" s="8">
        <v>34.229999999999997</v>
      </c>
      <c r="E5" s="8">
        <v>13.59</v>
      </c>
      <c r="F5" s="8">
        <v>15.1</v>
      </c>
      <c r="G5" s="5">
        <v>2</v>
      </c>
      <c r="I5" s="16"/>
      <c r="J5" s="5"/>
      <c r="L5" s="4"/>
      <c r="M5" s="15"/>
      <c r="P5" s="4"/>
      <c r="Q5" s="4"/>
      <c r="R5" s="4"/>
      <c r="S5" s="4"/>
      <c r="T5" s="4"/>
      <c r="U5" s="3"/>
      <c r="V5" s="17"/>
      <c r="W5" s="18"/>
      <c r="X5" s="18"/>
      <c r="Y5" s="19"/>
      <c r="Z5" s="19"/>
    </row>
    <row r="6" spans="1:26" x14ac:dyDescent="0.25">
      <c r="A6" s="5">
        <v>5</v>
      </c>
      <c r="B6" s="8">
        <v>19.670000000000002</v>
      </c>
      <c r="C6" s="8">
        <v>23.96</v>
      </c>
      <c r="D6" s="8">
        <v>17.47</v>
      </c>
      <c r="E6" s="8">
        <v>15.11</v>
      </c>
      <c r="F6" s="8">
        <v>23.79</v>
      </c>
      <c r="G6" s="5">
        <v>2</v>
      </c>
      <c r="I6" s="20"/>
      <c r="J6" s="5"/>
      <c r="L6" s="4"/>
      <c r="M6" s="15"/>
      <c r="P6" s="21"/>
      <c r="Q6" s="21"/>
      <c r="R6" s="22"/>
      <c r="S6" s="23"/>
      <c r="T6" s="22"/>
      <c r="U6" s="5"/>
      <c r="V6" s="23"/>
      <c r="W6" s="20"/>
      <c r="X6" s="20"/>
      <c r="Y6" s="22"/>
      <c r="Z6" s="22"/>
    </row>
    <row r="7" spans="1:26" x14ac:dyDescent="0.25">
      <c r="A7" s="5">
        <v>6</v>
      </c>
      <c r="B7" s="8">
        <v>22.08</v>
      </c>
      <c r="C7" s="8">
        <v>21.59</v>
      </c>
      <c r="D7" s="8">
        <v>19.260000000000002</v>
      </c>
      <c r="E7" s="8">
        <v>14.86</v>
      </c>
      <c r="F7" s="8">
        <v>22.21</v>
      </c>
      <c r="G7" s="5">
        <v>1</v>
      </c>
      <c r="I7" s="20"/>
      <c r="J7" s="5"/>
      <c r="L7" s="4"/>
      <c r="M7" s="15"/>
      <c r="P7" s="21"/>
      <c r="Q7" s="21"/>
      <c r="R7" s="24"/>
      <c r="S7" s="23"/>
      <c r="T7" s="22"/>
      <c r="U7" s="5"/>
      <c r="V7" s="23"/>
      <c r="W7" s="20"/>
      <c r="X7" s="20"/>
      <c r="Y7" s="22"/>
      <c r="Z7" s="22"/>
    </row>
    <row r="8" spans="1:26" x14ac:dyDescent="0.25">
      <c r="A8" s="5">
        <v>7</v>
      </c>
      <c r="B8" s="8">
        <v>26.05</v>
      </c>
      <c r="C8" s="8">
        <v>21.96</v>
      </c>
      <c r="D8" s="8">
        <v>15.34</v>
      </c>
      <c r="E8" s="8">
        <v>19.04</v>
      </c>
      <c r="F8" s="8">
        <v>17.61</v>
      </c>
      <c r="G8" s="5">
        <v>3</v>
      </c>
      <c r="I8" s="21"/>
      <c r="J8" s="5"/>
      <c r="L8" s="4"/>
      <c r="M8" s="15"/>
      <c r="P8" s="10"/>
      <c r="Q8" s="10"/>
      <c r="R8" s="10"/>
      <c r="S8" s="10"/>
      <c r="T8" s="10"/>
      <c r="U8" s="5"/>
      <c r="V8" s="23"/>
      <c r="W8" s="20"/>
      <c r="X8" s="20"/>
      <c r="Y8" s="22"/>
      <c r="Z8" s="22"/>
    </row>
    <row r="9" spans="1:26" x14ac:dyDescent="0.25">
      <c r="A9" s="5">
        <v>8</v>
      </c>
      <c r="B9" s="8">
        <v>11.44</v>
      </c>
      <c r="C9" s="8">
        <v>22.15</v>
      </c>
      <c r="D9" s="8">
        <v>41.55</v>
      </c>
      <c r="E9" s="8">
        <v>15.75</v>
      </c>
      <c r="F9" s="8">
        <v>9.11</v>
      </c>
      <c r="G9" s="5">
        <v>2</v>
      </c>
      <c r="I9" s="20"/>
      <c r="J9" s="5"/>
      <c r="L9" s="4"/>
      <c r="M9" s="15"/>
      <c r="P9" s="10"/>
      <c r="Q9" s="10"/>
      <c r="R9" s="10"/>
      <c r="S9" s="10"/>
      <c r="T9" s="10"/>
      <c r="U9" s="5"/>
      <c r="V9" s="23"/>
      <c r="W9" s="20"/>
      <c r="X9" s="20"/>
      <c r="Y9" s="22"/>
      <c r="Z9" s="22"/>
    </row>
    <row r="10" spans="1:26" x14ac:dyDescent="0.25">
      <c r="A10" s="5">
        <v>9</v>
      </c>
      <c r="B10" s="5">
        <v>19.690000000000001</v>
      </c>
      <c r="C10" s="5">
        <v>23.05</v>
      </c>
      <c r="D10" s="5">
        <v>33.46</v>
      </c>
      <c r="E10" s="5">
        <v>11.14</v>
      </c>
      <c r="F10" s="5">
        <v>12.66</v>
      </c>
      <c r="G10" s="5">
        <v>0</v>
      </c>
      <c r="I10" s="20"/>
      <c r="J10" s="5"/>
      <c r="L10" s="4"/>
      <c r="M10" s="15"/>
      <c r="P10" s="10"/>
      <c r="Q10" s="10"/>
      <c r="R10" s="10"/>
      <c r="S10" s="10"/>
      <c r="T10" s="10"/>
      <c r="U10" s="5"/>
    </row>
    <row r="11" spans="1:26" x14ac:dyDescent="0.25">
      <c r="A11" s="5">
        <v>10</v>
      </c>
      <c r="B11" s="8">
        <v>13.86</v>
      </c>
      <c r="C11" s="8">
        <v>28.41</v>
      </c>
      <c r="D11" s="8">
        <v>35.159999999999997</v>
      </c>
      <c r="E11" s="8">
        <v>11.68</v>
      </c>
      <c r="F11" s="8">
        <v>10.89</v>
      </c>
      <c r="G11" s="5">
        <v>2</v>
      </c>
      <c r="J11" s="5"/>
      <c r="L11" s="4"/>
      <c r="M11" s="15"/>
      <c r="P11" s="10"/>
      <c r="Q11" s="10"/>
      <c r="R11" s="10"/>
      <c r="S11" s="10"/>
      <c r="T11" s="10"/>
      <c r="U11" s="5"/>
    </row>
    <row r="12" spans="1:26" x14ac:dyDescent="0.25">
      <c r="A12" s="5">
        <v>11</v>
      </c>
      <c r="B12" s="5">
        <v>19.39</v>
      </c>
      <c r="C12" s="5">
        <v>21.11</v>
      </c>
      <c r="D12" s="5">
        <v>37.090000000000003</v>
      </c>
      <c r="E12" s="5">
        <v>15.39</v>
      </c>
      <c r="F12" s="5">
        <v>7.02</v>
      </c>
      <c r="G12" s="5">
        <v>0</v>
      </c>
      <c r="I12" s="20"/>
      <c r="J12" s="5"/>
      <c r="L12" s="4"/>
      <c r="M12" s="15"/>
      <c r="P12" s="10"/>
      <c r="Q12" s="10"/>
      <c r="R12" s="10"/>
      <c r="S12" s="10"/>
      <c r="T12" s="10"/>
      <c r="U12" s="5"/>
    </row>
    <row r="13" spans="1:26" x14ac:dyDescent="0.25">
      <c r="A13" s="5">
        <v>12</v>
      </c>
      <c r="B13" s="6"/>
      <c r="C13" s="6"/>
      <c r="D13" s="6"/>
      <c r="E13" s="6"/>
      <c r="F13" s="6"/>
      <c r="G13" s="5">
        <v>3</v>
      </c>
      <c r="I13" s="20"/>
      <c r="J13" s="5"/>
      <c r="L13" s="4"/>
      <c r="M13" s="15"/>
      <c r="P13" s="10"/>
      <c r="Q13" s="10"/>
      <c r="R13" s="10"/>
      <c r="S13" s="10"/>
      <c r="T13" s="10"/>
      <c r="U13" s="5"/>
    </row>
    <row r="14" spans="1:26" x14ac:dyDescent="0.25">
      <c r="A14" s="5">
        <v>13</v>
      </c>
      <c r="B14" s="8">
        <v>19.38</v>
      </c>
      <c r="C14" s="8">
        <v>25.68</v>
      </c>
      <c r="D14" s="8">
        <v>30.69</v>
      </c>
      <c r="E14" s="8">
        <v>12.71</v>
      </c>
      <c r="F14" s="8">
        <v>11.54</v>
      </c>
      <c r="G14" s="5">
        <v>2</v>
      </c>
      <c r="I14" s="25"/>
      <c r="J14" s="5"/>
      <c r="M14" s="15"/>
      <c r="P14" s="10"/>
      <c r="Q14" s="10"/>
      <c r="R14" s="10"/>
      <c r="S14" s="10"/>
      <c r="T14" s="10"/>
      <c r="U14" s="5"/>
    </row>
    <row r="15" spans="1:26" x14ac:dyDescent="0.25">
      <c r="A15" s="5">
        <v>14</v>
      </c>
      <c r="B15" s="26"/>
      <c r="C15" s="26"/>
      <c r="D15" s="27"/>
      <c r="E15" s="28"/>
      <c r="F15" s="27"/>
      <c r="G15" s="5">
        <v>3</v>
      </c>
      <c r="I15" s="20"/>
      <c r="J15" s="5"/>
      <c r="M15" s="15"/>
      <c r="P15" s="10"/>
      <c r="Q15" s="10"/>
      <c r="R15" s="10"/>
      <c r="S15" s="10"/>
      <c r="T15" s="10"/>
      <c r="U15" s="5"/>
    </row>
    <row r="16" spans="1:26" x14ac:dyDescent="0.25">
      <c r="A16" s="5">
        <v>15</v>
      </c>
      <c r="B16" s="29"/>
      <c r="C16" s="29"/>
      <c r="D16" s="30"/>
      <c r="E16" s="31"/>
      <c r="F16" s="32"/>
      <c r="G16" s="5">
        <v>3</v>
      </c>
      <c r="I16" s="20"/>
      <c r="J16" s="5"/>
      <c r="L16" s="4"/>
      <c r="M16" s="15"/>
      <c r="P16" s="10"/>
      <c r="Q16" s="10"/>
      <c r="R16" s="10"/>
      <c r="S16" s="10"/>
      <c r="T16" s="10"/>
      <c r="U16" s="5"/>
    </row>
    <row r="17" spans="1:26" x14ac:dyDescent="0.25">
      <c r="A17" s="5">
        <v>16</v>
      </c>
      <c r="B17" s="8">
        <v>18.62</v>
      </c>
      <c r="C17" s="8">
        <v>24.99</v>
      </c>
      <c r="D17" s="8">
        <v>30.09</v>
      </c>
      <c r="E17" s="8">
        <v>17.66</v>
      </c>
      <c r="F17" s="8">
        <v>8.65</v>
      </c>
      <c r="G17" s="5">
        <v>2</v>
      </c>
      <c r="J17" s="5"/>
      <c r="L17" s="4"/>
      <c r="M17" s="15"/>
      <c r="U17" s="5"/>
    </row>
    <row r="18" spans="1:26" x14ac:dyDescent="0.25">
      <c r="A18" s="5">
        <v>17</v>
      </c>
      <c r="B18" s="8">
        <v>17.93</v>
      </c>
      <c r="C18" s="8">
        <v>24.84</v>
      </c>
      <c r="D18" s="8">
        <v>30.54</v>
      </c>
      <c r="E18" s="8">
        <v>14.14</v>
      </c>
      <c r="F18" s="8">
        <v>12.55</v>
      </c>
      <c r="G18" s="5">
        <v>0</v>
      </c>
      <c r="I18" s="20"/>
      <c r="J18" s="5"/>
      <c r="L18" s="4"/>
      <c r="M18" s="15"/>
      <c r="P18" s="21"/>
      <c r="Q18" s="21"/>
      <c r="R18" s="22"/>
      <c r="S18" s="23"/>
      <c r="T18" s="22"/>
      <c r="U18" s="5"/>
      <c r="V18" s="23"/>
      <c r="W18" s="20"/>
      <c r="X18" s="20"/>
      <c r="Y18" s="22"/>
      <c r="Z18" s="22"/>
    </row>
    <row r="19" spans="1:26" x14ac:dyDescent="0.25">
      <c r="A19" s="5">
        <v>18</v>
      </c>
      <c r="B19" s="8">
        <v>17.850000000000001</v>
      </c>
      <c r="C19" s="8">
        <v>24.65</v>
      </c>
      <c r="D19" s="8">
        <v>31.54</v>
      </c>
      <c r="E19" s="8">
        <v>15.14</v>
      </c>
      <c r="F19" s="8">
        <v>10.82</v>
      </c>
      <c r="G19" s="5">
        <v>2</v>
      </c>
      <c r="I19" s="20"/>
      <c r="J19" s="5"/>
      <c r="L19" s="4"/>
      <c r="M19" s="15"/>
      <c r="P19" s="21"/>
      <c r="Q19" s="21"/>
      <c r="R19" s="22"/>
      <c r="S19" s="23"/>
      <c r="T19" s="22"/>
      <c r="U19" s="5"/>
      <c r="V19" s="23"/>
      <c r="W19" s="20"/>
      <c r="X19" s="20"/>
      <c r="Y19" s="22"/>
      <c r="Z19" s="22"/>
    </row>
    <row r="20" spans="1:26" x14ac:dyDescent="0.25">
      <c r="A20" s="5">
        <v>19</v>
      </c>
      <c r="B20" s="8">
        <v>13.76</v>
      </c>
      <c r="C20" s="8">
        <v>24.52</v>
      </c>
      <c r="D20" s="8">
        <v>37.78</v>
      </c>
      <c r="E20" s="8">
        <v>15.76</v>
      </c>
      <c r="F20" s="8">
        <v>8.18</v>
      </c>
      <c r="G20" s="5">
        <v>2</v>
      </c>
      <c r="I20" s="21"/>
      <c r="J20" s="5"/>
      <c r="L20" s="4"/>
      <c r="M20" s="15"/>
      <c r="P20" s="25"/>
      <c r="Q20" s="25"/>
      <c r="R20" s="33"/>
      <c r="S20" s="17"/>
      <c r="T20" s="19"/>
      <c r="U20" s="5"/>
      <c r="V20" s="17"/>
      <c r="W20" s="25"/>
      <c r="X20" s="18"/>
      <c r="Y20" s="19"/>
      <c r="Z20" s="19"/>
    </row>
    <row r="21" spans="1:26" ht="15.75" customHeight="1" x14ac:dyDescent="0.25">
      <c r="A21" s="5">
        <v>20</v>
      </c>
      <c r="B21" s="8">
        <v>17.21</v>
      </c>
      <c r="C21" s="8">
        <v>26.29</v>
      </c>
      <c r="D21" s="8">
        <v>22.91</v>
      </c>
      <c r="E21" s="8">
        <v>17.510000000000002</v>
      </c>
      <c r="F21" s="8">
        <v>16.079999999999998</v>
      </c>
      <c r="G21" s="5">
        <v>3</v>
      </c>
      <c r="I21" s="34"/>
      <c r="J21" s="5"/>
      <c r="L21" s="4"/>
      <c r="M21" s="15"/>
      <c r="P21" s="25"/>
      <c r="Q21" s="25"/>
      <c r="R21" s="33"/>
      <c r="S21" s="17"/>
      <c r="T21" s="19"/>
      <c r="U21" s="5"/>
      <c r="V21" s="17"/>
      <c r="W21" s="18"/>
      <c r="X21" s="18"/>
      <c r="Y21" s="19"/>
      <c r="Z21" s="19"/>
    </row>
    <row r="22" spans="1:26" ht="15.75" customHeight="1" x14ac:dyDescent="0.25">
      <c r="A22" s="5">
        <v>21</v>
      </c>
      <c r="B22" s="26"/>
      <c r="C22" s="26"/>
      <c r="D22" s="36"/>
      <c r="E22" s="28"/>
      <c r="F22" s="27"/>
      <c r="G22" s="5">
        <v>3</v>
      </c>
      <c r="I22" s="34"/>
      <c r="J22" s="5"/>
      <c r="L22" s="4"/>
      <c r="M22" s="15"/>
      <c r="P22" s="21"/>
      <c r="Q22" s="21"/>
      <c r="R22" s="22"/>
      <c r="S22" s="23"/>
      <c r="T22" s="22"/>
      <c r="U22" s="35"/>
      <c r="V22" s="23"/>
      <c r="W22" s="20"/>
      <c r="X22" s="20"/>
      <c r="Y22" s="22"/>
      <c r="Z22" s="22"/>
    </row>
    <row r="23" spans="1:26" ht="15.75" customHeight="1" x14ac:dyDescent="0.25">
      <c r="A23" s="5">
        <v>22</v>
      </c>
      <c r="B23" s="8">
        <v>25.1</v>
      </c>
      <c r="C23" s="8">
        <v>28.78</v>
      </c>
      <c r="D23" s="8">
        <v>21.07</v>
      </c>
      <c r="E23" s="8">
        <v>12.07</v>
      </c>
      <c r="F23" s="8">
        <v>12.98</v>
      </c>
      <c r="G23" s="5">
        <v>3</v>
      </c>
      <c r="I23" s="34"/>
      <c r="J23" s="5"/>
      <c r="L23" s="4"/>
      <c r="M23" s="15"/>
      <c r="P23" s="4"/>
      <c r="Q23" s="4"/>
      <c r="R23" s="4"/>
      <c r="S23" s="4"/>
      <c r="T23" s="4"/>
      <c r="U23" s="35"/>
      <c r="V23" s="4"/>
      <c r="W23" s="4"/>
      <c r="X23" s="4"/>
      <c r="Y23" s="4"/>
      <c r="Z23" s="4"/>
    </row>
    <row r="24" spans="1:26" ht="15.75" customHeight="1" x14ac:dyDescent="0.25">
      <c r="A24" s="5">
        <v>23</v>
      </c>
      <c r="B24" s="8">
        <v>11.09</v>
      </c>
      <c r="C24" s="8">
        <v>33.36</v>
      </c>
      <c r="D24" s="8">
        <v>28.7</v>
      </c>
      <c r="E24" s="8">
        <v>13.95</v>
      </c>
      <c r="F24" s="8">
        <v>12.9</v>
      </c>
      <c r="G24" s="5">
        <v>0</v>
      </c>
      <c r="I24" s="34"/>
      <c r="J24" s="5"/>
      <c r="L24" s="4"/>
      <c r="M24" s="15"/>
      <c r="P24" s="4"/>
      <c r="Q24" s="4"/>
      <c r="R24" s="4"/>
      <c r="S24" s="4"/>
      <c r="T24" s="4"/>
      <c r="U24" s="3"/>
    </row>
    <row r="25" spans="1:26" ht="15.75" customHeight="1" x14ac:dyDescent="0.25">
      <c r="A25" s="5">
        <v>24</v>
      </c>
      <c r="B25" s="8">
        <v>16.7</v>
      </c>
      <c r="C25" s="8">
        <v>25.98</v>
      </c>
      <c r="D25" s="8">
        <v>33.380000000000003</v>
      </c>
      <c r="E25" s="8">
        <v>10.56</v>
      </c>
      <c r="F25" s="8">
        <v>13.38</v>
      </c>
      <c r="G25" s="5">
        <v>0</v>
      </c>
      <c r="I25" s="34"/>
      <c r="J25" s="5"/>
      <c r="L25" s="4"/>
      <c r="M25" s="15"/>
      <c r="P25" s="37"/>
      <c r="Q25" s="9"/>
      <c r="R25" s="9"/>
      <c r="S25" s="9"/>
      <c r="T25" s="9"/>
      <c r="U25" s="5"/>
    </row>
    <row r="26" spans="1:26" ht="15.75" customHeight="1" x14ac:dyDescent="0.25">
      <c r="A26" s="5">
        <v>26</v>
      </c>
      <c r="B26" s="26"/>
      <c r="C26" s="26"/>
      <c r="D26" s="27"/>
      <c r="E26" s="28"/>
      <c r="F26" s="27"/>
      <c r="G26" s="5">
        <v>3</v>
      </c>
      <c r="I26" s="34"/>
      <c r="J26" s="5"/>
      <c r="L26" s="4"/>
      <c r="M26" s="15"/>
      <c r="P26" s="9"/>
      <c r="Q26" s="9"/>
      <c r="R26" s="9"/>
      <c r="S26" s="9"/>
      <c r="T26" s="9"/>
      <c r="U26" s="5"/>
    </row>
    <row r="27" spans="1:26" ht="15.75" customHeight="1" x14ac:dyDescent="0.25">
      <c r="A27" s="5">
        <v>27</v>
      </c>
      <c r="B27" s="8">
        <v>20.149999999999999</v>
      </c>
      <c r="C27" s="8">
        <v>19.350000000000001</v>
      </c>
      <c r="D27" s="8">
        <v>32.03</v>
      </c>
      <c r="E27" s="8">
        <v>16.18</v>
      </c>
      <c r="F27" s="8">
        <v>12.29</v>
      </c>
      <c r="G27" s="5">
        <v>2</v>
      </c>
      <c r="I27" s="34"/>
      <c r="J27" s="5"/>
      <c r="L27" s="4"/>
      <c r="M27" s="15"/>
      <c r="P27" s="9"/>
      <c r="Q27" s="9"/>
      <c r="R27" s="9"/>
      <c r="S27" s="9"/>
      <c r="T27" s="9"/>
      <c r="U27" s="5"/>
    </row>
    <row r="28" spans="1:26" ht="15.75" customHeight="1" x14ac:dyDescent="0.25">
      <c r="A28" s="5">
        <v>28</v>
      </c>
      <c r="B28" s="8">
        <v>13.56</v>
      </c>
      <c r="C28" s="8">
        <v>24.33</v>
      </c>
      <c r="D28" s="8">
        <v>33.520000000000003</v>
      </c>
      <c r="E28" s="8">
        <v>15</v>
      </c>
      <c r="F28" s="8">
        <v>13.6</v>
      </c>
      <c r="G28" s="5">
        <v>2</v>
      </c>
      <c r="I28" s="34"/>
      <c r="J28" s="5"/>
      <c r="L28" s="4"/>
      <c r="M28" s="15"/>
      <c r="P28" s="9"/>
      <c r="Q28" s="9"/>
      <c r="R28" s="9"/>
      <c r="S28" s="9"/>
      <c r="T28" s="9"/>
      <c r="U28" s="5"/>
    </row>
    <row r="29" spans="1:26" ht="15.75" customHeight="1" x14ac:dyDescent="0.25">
      <c r="A29" s="5">
        <v>29</v>
      </c>
      <c r="B29" s="8">
        <v>17.48</v>
      </c>
      <c r="C29" s="8">
        <v>31.21</v>
      </c>
      <c r="D29" s="8">
        <v>22.17</v>
      </c>
      <c r="E29" s="8">
        <v>15.14</v>
      </c>
      <c r="F29" s="8">
        <v>14</v>
      </c>
      <c r="G29" s="5">
        <v>3</v>
      </c>
      <c r="I29" s="34"/>
      <c r="J29" s="5"/>
      <c r="L29" s="4"/>
      <c r="M29" s="15"/>
      <c r="P29" s="9"/>
      <c r="Q29" s="9"/>
      <c r="R29" s="9"/>
      <c r="S29" s="9"/>
      <c r="T29" s="9"/>
      <c r="U29" s="5"/>
    </row>
    <row r="30" spans="1:26" s="38" customFormat="1" ht="15.75" customHeight="1" x14ac:dyDescent="0.25">
      <c r="A30" s="5">
        <v>30</v>
      </c>
      <c r="B30" s="8">
        <v>16.93</v>
      </c>
      <c r="C30" s="8">
        <v>24.28</v>
      </c>
      <c r="D30" s="8">
        <v>37.97</v>
      </c>
      <c r="E30" s="8">
        <v>12.32</v>
      </c>
      <c r="F30" s="8">
        <v>8.5</v>
      </c>
      <c r="G30" s="5">
        <v>2</v>
      </c>
      <c r="I30" s="34"/>
      <c r="J30" s="5"/>
      <c r="K30" s="1"/>
      <c r="L30" s="4"/>
      <c r="M30" s="15"/>
      <c r="N30" s="1"/>
      <c r="O30" s="1"/>
      <c r="P30" s="10"/>
      <c r="Q30" s="10"/>
      <c r="R30" s="10"/>
      <c r="S30" s="10"/>
      <c r="T30" s="10"/>
      <c r="U30" s="5"/>
      <c r="V30" s="23"/>
      <c r="W30" s="20"/>
      <c r="X30" s="20"/>
      <c r="Y30" s="22"/>
      <c r="Z30" s="22"/>
    </row>
    <row r="31" spans="1:26" ht="15.75" customHeight="1" x14ac:dyDescent="0.25">
      <c r="A31" s="5">
        <v>31</v>
      </c>
      <c r="B31" s="8">
        <v>22.96</v>
      </c>
      <c r="C31" s="8">
        <v>20.5</v>
      </c>
      <c r="D31" s="8">
        <v>20.149999999999999</v>
      </c>
      <c r="E31" s="8">
        <v>16.350000000000001</v>
      </c>
      <c r="F31" s="8">
        <v>20.04</v>
      </c>
      <c r="G31" s="5">
        <v>3</v>
      </c>
      <c r="I31" s="34"/>
      <c r="J31" s="5"/>
      <c r="L31" s="4"/>
      <c r="M31" s="15"/>
      <c r="P31" s="10"/>
      <c r="Q31" s="10"/>
      <c r="R31" s="10"/>
      <c r="S31" s="10"/>
      <c r="T31" s="10"/>
      <c r="U31" s="5"/>
      <c r="V31" s="23"/>
      <c r="W31" s="20"/>
      <c r="X31" s="20"/>
      <c r="Y31" s="22"/>
      <c r="Z31" s="22"/>
    </row>
    <row r="32" spans="1:26" s="4" customFormat="1" ht="15.75" customHeight="1" x14ac:dyDescent="0.25">
      <c r="A32" s="5">
        <v>32</v>
      </c>
      <c r="B32" s="8">
        <v>22.57</v>
      </c>
      <c r="C32" s="8">
        <v>19.39</v>
      </c>
      <c r="D32" s="8">
        <v>20.36</v>
      </c>
      <c r="E32" s="8">
        <v>19.09</v>
      </c>
      <c r="F32" s="8">
        <v>18.59</v>
      </c>
      <c r="G32" s="5">
        <v>1</v>
      </c>
      <c r="I32" s="34"/>
      <c r="J32" s="5"/>
      <c r="K32" s="1"/>
      <c r="M32" s="15"/>
      <c r="N32" s="1"/>
      <c r="O32" s="1"/>
      <c r="P32" s="10"/>
      <c r="Q32" s="10"/>
      <c r="R32" s="10"/>
      <c r="S32" s="10"/>
      <c r="T32" s="10"/>
      <c r="U32" s="5"/>
      <c r="V32" s="17"/>
      <c r="W32" s="18"/>
      <c r="X32" s="18"/>
      <c r="Y32" s="33"/>
      <c r="Z32" s="19"/>
    </row>
    <row r="33" spans="1:26" s="4" customFormat="1" ht="15.75" customHeight="1" x14ac:dyDescent="0.25">
      <c r="A33" s="5">
        <v>33</v>
      </c>
      <c r="B33" s="8">
        <v>19.38</v>
      </c>
      <c r="C33" s="8">
        <v>21.19</v>
      </c>
      <c r="D33" s="8">
        <v>30.56</v>
      </c>
      <c r="E33" s="8">
        <v>16.48</v>
      </c>
      <c r="F33" s="8">
        <v>12.39</v>
      </c>
      <c r="G33" s="5">
        <v>2</v>
      </c>
      <c r="I33" s="34"/>
      <c r="J33" s="5"/>
      <c r="K33" s="1"/>
      <c r="M33" s="15"/>
      <c r="N33" s="1"/>
      <c r="O33" s="1"/>
      <c r="P33" s="10"/>
      <c r="Q33" s="10"/>
      <c r="R33" s="10"/>
      <c r="S33" s="10"/>
      <c r="T33" s="10"/>
      <c r="U33" s="5"/>
      <c r="V33" s="17"/>
      <c r="W33" s="18"/>
      <c r="X33" s="18"/>
      <c r="Y33" s="19"/>
      <c r="Z33" s="19"/>
    </row>
    <row r="34" spans="1:26" ht="15.75" customHeight="1" x14ac:dyDescent="0.25">
      <c r="A34" s="5">
        <v>34</v>
      </c>
      <c r="B34" s="8">
        <v>17.239999999999998</v>
      </c>
      <c r="C34" s="8">
        <v>23.12</v>
      </c>
      <c r="D34" s="8">
        <v>22.86</v>
      </c>
      <c r="E34" s="8">
        <v>19.84</v>
      </c>
      <c r="F34" s="8">
        <v>16.940000000000001</v>
      </c>
      <c r="G34" s="5">
        <v>3</v>
      </c>
      <c r="I34" s="34"/>
      <c r="J34" s="5"/>
      <c r="L34" s="4"/>
      <c r="M34" s="15"/>
      <c r="P34" s="10"/>
      <c r="Q34" s="10"/>
      <c r="R34" s="10"/>
      <c r="S34" s="10"/>
      <c r="T34" s="10"/>
      <c r="U34" s="5"/>
      <c r="V34" s="23"/>
      <c r="W34" s="20"/>
      <c r="X34" s="20"/>
      <c r="Y34" s="22"/>
      <c r="Z34" s="22"/>
    </row>
    <row r="35" spans="1:26" ht="15.75" customHeight="1" x14ac:dyDescent="0.25">
      <c r="A35" s="5">
        <v>35</v>
      </c>
      <c r="B35" s="5">
        <v>15.49</v>
      </c>
      <c r="C35" s="5">
        <v>13.38</v>
      </c>
      <c r="D35" s="5">
        <v>40.97</v>
      </c>
      <c r="E35" s="5">
        <v>17.66</v>
      </c>
      <c r="F35" s="5">
        <v>12.5</v>
      </c>
      <c r="G35" s="5">
        <v>0</v>
      </c>
      <c r="I35" s="34"/>
      <c r="J35" s="5"/>
      <c r="L35" s="4"/>
      <c r="M35" s="15"/>
      <c r="P35" s="10"/>
      <c r="Q35" s="10"/>
      <c r="R35" s="10"/>
      <c r="S35" s="10"/>
      <c r="T35" s="10"/>
      <c r="U35" s="5"/>
    </row>
    <row r="36" spans="1:26" ht="15.75" customHeight="1" x14ac:dyDescent="0.25">
      <c r="A36" s="5">
        <v>36</v>
      </c>
      <c r="B36" s="29"/>
      <c r="C36" s="29"/>
      <c r="D36" s="30"/>
      <c r="E36" s="31"/>
      <c r="F36" s="32"/>
      <c r="G36" s="5">
        <v>3</v>
      </c>
      <c r="I36" s="34"/>
      <c r="J36" s="5"/>
      <c r="L36" s="4"/>
      <c r="M36" s="15"/>
      <c r="P36" s="10"/>
      <c r="Q36" s="10"/>
      <c r="R36" s="10"/>
      <c r="S36" s="10"/>
      <c r="T36" s="10"/>
      <c r="U36" s="5"/>
      <c r="V36" s="23"/>
      <c r="W36" s="20"/>
      <c r="X36" s="20"/>
      <c r="Y36" s="22"/>
      <c r="Z36" s="22"/>
    </row>
    <row r="37" spans="1:26" ht="15.75" customHeight="1" x14ac:dyDescent="0.25">
      <c r="A37" s="5">
        <v>37</v>
      </c>
      <c r="B37" s="39">
        <v>24.91</v>
      </c>
      <c r="C37" s="5">
        <v>22.23</v>
      </c>
      <c r="D37" s="5">
        <v>29.92</v>
      </c>
      <c r="E37" s="5">
        <v>13.62</v>
      </c>
      <c r="F37" s="5">
        <v>9.32</v>
      </c>
      <c r="G37" s="5">
        <v>0</v>
      </c>
      <c r="I37" s="34"/>
      <c r="J37" s="5"/>
      <c r="M37" s="15"/>
      <c r="P37" s="21"/>
      <c r="Q37" s="21"/>
      <c r="R37" s="22"/>
      <c r="S37" s="23"/>
      <c r="T37" s="22"/>
      <c r="U37" s="5"/>
      <c r="V37" s="23"/>
      <c r="W37" s="20"/>
      <c r="X37" s="20"/>
      <c r="Y37" s="22"/>
      <c r="Z37" s="22"/>
    </row>
    <row r="38" spans="1:26" ht="15.75" customHeight="1" x14ac:dyDescent="0.25">
      <c r="A38" s="5">
        <v>38</v>
      </c>
      <c r="B38" s="8">
        <v>18.2</v>
      </c>
      <c r="C38" s="8">
        <v>21.98</v>
      </c>
      <c r="D38" s="8">
        <v>33.04</v>
      </c>
      <c r="E38" s="8">
        <v>15.82</v>
      </c>
      <c r="F38" s="8">
        <v>10.96</v>
      </c>
      <c r="G38" s="5">
        <v>1</v>
      </c>
      <c r="I38" s="34"/>
      <c r="J38" s="5"/>
      <c r="M38" s="15"/>
      <c r="P38" s="21"/>
      <c r="Q38" s="21"/>
      <c r="R38" s="24"/>
      <c r="S38" s="23"/>
      <c r="T38" s="22"/>
      <c r="U38" s="5"/>
      <c r="V38" s="23"/>
      <c r="W38" s="20"/>
      <c r="X38" s="20"/>
      <c r="Y38" s="22"/>
      <c r="Z38" s="22"/>
    </row>
    <row r="39" spans="1:26" ht="15.75" customHeight="1" x14ac:dyDescent="0.25">
      <c r="A39" s="5">
        <v>39</v>
      </c>
      <c r="B39" s="26"/>
      <c r="C39" s="26"/>
      <c r="D39" s="27"/>
      <c r="E39" s="28"/>
      <c r="F39" s="27"/>
      <c r="G39" s="5">
        <v>3</v>
      </c>
      <c r="I39" s="34"/>
      <c r="J39" s="5"/>
      <c r="M39" s="15"/>
      <c r="P39" s="21"/>
      <c r="Q39" s="21"/>
      <c r="R39" s="22"/>
      <c r="S39" s="23"/>
      <c r="T39" s="22"/>
      <c r="U39" s="5"/>
      <c r="V39" s="23"/>
      <c r="W39" s="20"/>
      <c r="X39" s="20"/>
      <c r="Y39" s="22"/>
      <c r="Z39" s="22"/>
    </row>
    <row r="40" spans="1:26" ht="15.75" customHeight="1" x14ac:dyDescent="0.25">
      <c r="A40" s="5">
        <v>40</v>
      </c>
      <c r="B40" s="8">
        <v>18.77</v>
      </c>
      <c r="C40" s="8">
        <v>15.33</v>
      </c>
      <c r="D40" s="8">
        <v>32.85</v>
      </c>
      <c r="E40" s="8">
        <v>16.190000000000001</v>
      </c>
      <c r="F40" s="8">
        <v>16.86</v>
      </c>
      <c r="G40" s="5">
        <v>0</v>
      </c>
      <c r="I40" s="34"/>
      <c r="J40" s="5"/>
      <c r="M40" s="15"/>
      <c r="P40" s="21"/>
      <c r="Q40" s="21"/>
      <c r="R40" s="22"/>
      <c r="S40" s="23"/>
      <c r="T40" s="22"/>
      <c r="U40" s="23"/>
      <c r="V40" s="23"/>
      <c r="W40" s="20"/>
      <c r="X40" s="20"/>
      <c r="Y40" s="22"/>
      <c r="Z40" s="22"/>
    </row>
    <row r="41" spans="1:26" ht="15.75" customHeight="1" x14ac:dyDescent="0.25">
      <c r="A41" s="5">
        <v>41</v>
      </c>
      <c r="B41" s="8">
        <v>9.89</v>
      </c>
      <c r="C41" s="8">
        <v>20.58</v>
      </c>
      <c r="D41" s="8">
        <v>31.21</v>
      </c>
      <c r="E41" s="8">
        <v>14.38</v>
      </c>
      <c r="F41" s="8">
        <v>23.94</v>
      </c>
      <c r="G41" s="5">
        <v>3</v>
      </c>
      <c r="I41" s="34"/>
      <c r="J41" s="5"/>
      <c r="M41" s="15"/>
    </row>
    <row r="42" spans="1:26" ht="15.75" customHeight="1" x14ac:dyDescent="0.25">
      <c r="A42" s="5">
        <v>42</v>
      </c>
      <c r="B42" s="8">
        <v>14.4</v>
      </c>
      <c r="C42" s="8">
        <v>28.35</v>
      </c>
      <c r="D42" s="8">
        <v>27.68</v>
      </c>
      <c r="E42" s="8">
        <v>11.54</v>
      </c>
      <c r="F42" s="8">
        <v>18.03</v>
      </c>
      <c r="G42" s="5">
        <v>3</v>
      </c>
      <c r="I42" s="40"/>
      <c r="J42" s="5"/>
      <c r="M42" s="15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</row>
    <row r="43" spans="1:26" s="4" customFormat="1" ht="15.75" customHeight="1" x14ac:dyDescent="0.25">
      <c r="A43" s="5">
        <v>43</v>
      </c>
      <c r="B43" s="8">
        <v>12.55</v>
      </c>
      <c r="C43" s="8">
        <v>17.37</v>
      </c>
      <c r="D43" s="8">
        <v>46.79</v>
      </c>
      <c r="E43" s="8">
        <v>11.66</v>
      </c>
      <c r="F43" s="8">
        <v>11.63</v>
      </c>
      <c r="G43" s="5">
        <v>0</v>
      </c>
      <c r="I43" s="34"/>
      <c r="J43" s="5"/>
      <c r="K43" s="1"/>
      <c r="L43" s="1"/>
      <c r="M43" s="15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s="4" customFormat="1" ht="15.75" customHeight="1" x14ac:dyDescent="0.25">
      <c r="A44" s="5">
        <v>44</v>
      </c>
      <c r="B44" s="26"/>
      <c r="C44" s="26"/>
      <c r="D44" s="27"/>
      <c r="E44" s="28"/>
      <c r="F44" s="27"/>
      <c r="G44" s="5">
        <v>0</v>
      </c>
      <c r="J44" s="5"/>
      <c r="K44" s="1"/>
      <c r="L44" s="1"/>
      <c r="M44" s="15"/>
      <c r="N44" s="1"/>
      <c r="O44" s="1"/>
    </row>
    <row r="45" spans="1:26" ht="15.75" customHeight="1" x14ac:dyDescent="0.25">
      <c r="A45" s="5">
        <v>45</v>
      </c>
      <c r="B45" s="8">
        <v>18.649999999999999</v>
      </c>
      <c r="C45" s="8">
        <v>18.79</v>
      </c>
      <c r="D45" s="8">
        <v>18.79</v>
      </c>
      <c r="E45" s="8">
        <v>19.809999999999999</v>
      </c>
      <c r="F45" s="8">
        <v>23.96</v>
      </c>
      <c r="G45" s="5">
        <v>2</v>
      </c>
      <c r="I45" s="4"/>
      <c r="J45" s="5"/>
      <c r="M45" s="15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 x14ac:dyDescent="0.25">
      <c r="A46" s="5">
        <v>46</v>
      </c>
      <c r="B46" s="8">
        <v>15.95</v>
      </c>
      <c r="C46" s="8">
        <v>37.11</v>
      </c>
      <c r="D46" s="8">
        <v>23.45</v>
      </c>
      <c r="E46" s="8">
        <v>11.06</v>
      </c>
      <c r="F46" s="8">
        <v>12.43</v>
      </c>
      <c r="G46" s="5">
        <v>2</v>
      </c>
      <c r="J46" s="5"/>
      <c r="M46" s="15"/>
    </row>
    <row r="47" spans="1:26" ht="15.75" customHeight="1" x14ac:dyDescent="0.25">
      <c r="A47" s="5">
        <v>47</v>
      </c>
      <c r="B47" s="8">
        <v>14.72</v>
      </c>
      <c r="C47" s="8">
        <v>23.03</v>
      </c>
      <c r="D47" s="8">
        <v>31.71</v>
      </c>
      <c r="E47" s="8">
        <v>18.57</v>
      </c>
      <c r="F47" s="8">
        <v>11.97</v>
      </c>
      <c r="G47" s="5">
        <v>0</v>
      </c>
      <c r="J47" s="5"/>
      <c r="M47" s="15"/>
      <c r="P47" s="4"/>
      <c r="Q47" s="4"/>
      <c r="R47" s="4"/>
      <c r="S47" s="4"/>
      <c r="T47" s="4"/>
      <c r="U47" s="4"/>
      <c r="V47" s="35"/>
      <c r="W47" s="4"/>
    </row>
    <row r="48" spans="1:26" ht="15.75" customHeight="1" x14ac:dyDescent="0.25">
      <c r="A48" s="5">
        <v>48</v>
      </c>
      <c r="B48" s="8">
        <v>14.92</v>
      </c>
      <c r="C48" s="8">
        <v>16.940000000000001</v>
      </c>
      <c r="D48" s="8">
        <v>27.66</v>
      </c>
      <c r="E48" s="8">
        <v>15.87</v>
      </c>
      <c r="F48" s="8">
        <v>24.61</v>
      </c>
      <c r="G48" s="5">
        <v>2</v>
      </c>
      <c r="J48" s="5"/>
      <c r="M48" s="15"/>
      <c r="P48" s="4"/>
      <c r="Q48" s="4"/>
      <c r="R48" s="4"/>
      <c r="S48" s="4"/>
      <c r="T48" s="4"/>
      <c r="U48" s="4"/>
      <c r="V48" s="35"/>
      <c r="W48" s="4"/>
    </row>
    <row r="49" spans="1:26" ht="15.75" customHeight="1" x14ac:dyDescent="0.25">
      <c r="A49" s="5">
        <v>49</v>
      </c>
      <c r="B49" s="8">
        <v>22.96</v>
      </c>
      <c r="C49" s="8">
        <v>27.62</v>
      </c>
      <c r="D49" s="8">
        <v>24.94</v>
      </c>
      <c r="E49" s="8">
        <v>10.96</v>
      </c>
      <c r="F49" s="8">
        <v>13.52</v>
      </c>
      <c r="G49" s="5">
        <v>2</v>
      </c>
      <c r="J49" s="5"/>
      <c r="M49" s="15"/>
      <c r="P49" s="3"/>
      <c r="Q49" s="4"/>
      <c r="R49" s="4"/>
      <c r="S49" s="4"/>
      <c r="T49" s="4"/>
      <c r="U49" s="4"/>
      <c r="V49" s="3"/>
    </row>
    <row r="50" spans="1:26" ht="15.75" customHeight="1" x14ac:dyDescent="0.25">
      <c r="A50" s="5">
        <v>50</v>
      </c>
      <c r="B50" s="8">
        <v>15.21</v>
      </c>
      <c r="C50" s="8">
        <v>27.02</v>
      </c>
      <c r="D50" s="8">
        <v>36.450000000000003</v>
      </c>
      <c r="E50" s="8">
        <v>11.08</v>
      </c>
      <c r="F50" s="8">
        <v>10.24</v>
      </c>
      <c r="G50" s="5">
        <v>1</v>
      </c>
      <c r="J50" s="5"/>
      <c r="M50" s="15"/>
      <c r="P50" s="5"/>
      <c r="Q50" s="10"/>
      <c r="R50" s="10"/>
      <c r="S50" s="10"/>
      <c r="T50" s="10"/>
      <c r="U50" s="10"/>
      <c r="V50" s="5"/>
    </row>
    <row r="51" spans="1:26" ht="15.75" customHeight="1" x14ac:dyDescent="0.25">
      <c r="A51" s="5">
        <v>51</v>
      </c>
      <c r="B51" s="8">
        <v>25.13</v>
      </c>
      <c r="C51" s="8">
        <v>19.71</v>
      </c>
      <c r="D51" s="8">
        <v>35.979999999999997</v>
      </c>
      <c r="E51" s="8">
        <v>11.39</v>
      </c>
      <c r="F51" s="8">
        <v>7.79</v>
      </c>
      <c r="G51" s="5">
        <v>2</v>
      </c>
      <c r="J51" s="5"/>
      <c r="M51" s="15"/>
      <c r="P51" s="5"/>
      <c r="Q51" s="10"/>
      <c r="R51" s="10"/>
      <c r="S51" s="10"/>
      <c r="T51" s="10"/>
      <c r="U51" s="10"/>
      <c r="V51" s="5"/>
    </row>
    <row r="52" spans="1:26" ht="15.75" customHeight="1" x14ac:dyDescent="0.25">
      <c r="A52" s="5">
        <v>52</v>
      </c>
      <c r="B52" s="8">
        <v>16</v>
      </c>
      <c r="C52" s="8">
        <v>25.03</v>
      </c>
      <c r="D52" s="8">
        <v>31.46</v>
      </c>
      <c r="E52" s="8">
        <v>18.690000000000001</v>
      </c>
      <c r="F52" s="8">
        <v>8.82</v>
      </c>
      <c r="G52" s="5">
        <v>0</v>
      </c>
      <c r="J52" s="5"/>
      <c r="M52" s="15"/>
      <c r="P52" s="5"/>
      <c r="Q52" s="10"/>
      <c r="R52" s="10"/>
      <c r="S52" s="10"/>
      <c r="T52" s="10"/>
      <c r="U52" s="10"/>
      <c r="V52" s="5"/>
    </row>
    <row r="53" spans="1:26" ht="15.75" customHeight="1" x14ac:dyDescent="0.25">
      <c r="A53" s="5">
        <v>53</v>
      </c>
      <c r="B53" s="26"/>
      <c r="C53" s="26"/>
      <c r="D53" s="27"/>
      <c r="E53" s="28"/>
      <c r="F53" s="27"/>
      <c r="G53" s="5">
        <v>0</v>
      </c>
      <c r="J53" s="5"/>
      <c r="M53" s="15"/>
      <c r="P53" s="5"/>
      <c r="Q53" s="10"/>
      <c r="R53" s="10"/>
      <c r="S53" s="10"/>
      <c r="T53" s="10"/>
      <c r="U53" s="10"/>
      <c r="V53" s="5"/>
    </row>
    <row r="54" spans="1:26" ht="15.75" customHeight="1" x14ac:dyDescent="0.25">
      <c r="A54" s="5">
        <v>54</v>
      </c>
      <c r="B54" s="8">
        <v>14.41</v>
      </c>
      <c r="C54" s="8">
        <v>27.39</v>
      </c>
      <c r="D54" s="8">
        <v>34.869999999999997</v>
      </c>
      <c r="E54" s="8">
        <v>15.47</v>
      </c>
      <c r="F54" s="8">
        <v>7.86</v>
      </c>
      <c r="G54" s="5">
        <v>2</v>
      </c>
      <c r="J54" s="5"/>
      <c r="M54" s="15"/>
      <c r="P54" s="5"/>
      <c r="Q54" s="10"/>
      <c r="R54" s="10"/>
      <c r="S54" s="10"/>
      <c r="T54" s="10"/>
      <c r="U54" s="10"/>
      <c r="V54" s="5"/>
      <c r="W54" s="22"/>
    </row>
    <row r="55" spans="1:26" ht="15.75" customHeight="1" x14ac:dyDescent="0.25">
      <c r="A55" s="5">
        <v>55</v>
      </c>
      <c r="B55" s="8">
        <v>16.399999999999999</v>
      </c>
      <c r="C55" s="8">
        <v>21.66</v>
      </c>
      <c r="D55" s="8">
        <v>26.46</v>
      </c>
      <c r="E55" s="8">
        <v>18.09</v>
      </c>
      <c r="F55" s="8">
        <v>17.39</v>
      </c>
      <c r="G55" s="5">
        <v>1</v>
      </c>
      <c r="I55" s="4"/>
      <c r="J55" s="5"/>
      <c r="M55" s="15"/>
      <c r="P55" s="5"/>
      <c r="Q55" s="10"/>
      <c r="R55" s="10"/>
      <c r="S55" s="10"/>
      <c r="T55" s="10"/>
      <c r="U55" s="10"/>
      <c r="V55" s="5"/>
      <c r="W55" s="22"/>
      <c r="X55" s="4"/>
      <c r="Y55" s="4"/>
      <c r="Z55" s="4"/>
    </row>
    <row r="56" spans="1:26" ht="15.75" customHeight="1" x14ac:dyDescent="0.25">
      <c r="A56" s="5">
        <v>56</v>
      </c>
      <c r="B56" s="8">
        <v>31.87</v>
      </c>
      <c r="C56" s="8">
        <v>17.059999999999999</v>
      </c>
      <c r="D56" s="8">
        <v>21.53</v>
      </c>
      <c r="E56" s="8">
        <v>14.68</v>
      </c>
      <c r="F56" s="8">
        <v>14.86</v>
      </c>
      <c r="G56" s="5">
        <v>2</v>
      </c>
      <c r="I56" s="4"/>
      <c r="J56" s="5"/>
      <c r="M56" s="15"/>
      <c r="P56" s="5"/>
      <c r="Q56" s="10"/>
      <c r="R56" s="10"/>
      <c r="S56" s="10"/>
      <c r="T56" s="10"/>
      <c r="U56" s="10"/>
      <c r="V56" s="5"/>
      <c r="W56" s="19"/>
      <c r="X56" s="4"/>
      <c r="Y56" s="4"/>
      <c r="Z56" s="4"/>
    </row>
    <row r="57" spans="1:26" ht="15.75" customHeight="1" x14ac:dyDescent="0.25">
      <c r="A57" s="5">
        <v>57</v>
      </c>
      <c r="B57" s="8">
        <v>16.57</v>
      </c>
      <c r="C57" s="8">
        <v>15.78</v>
      </c>
      <c r="D57" s="8">
        <v>20.72</v>
      </c>
      <c r="E57" s="8">
        <v>12.09</v>
      </c>
      <c r="F57" s="8">
        <v>34.840000000000003</v>
      </c>
      <c r="G57" s="5">
        <v>2</v>
      </c>
      <c r="J57" s="5"/>
      <c r="M57" s="15"/>
      <c r="Q57" s="22"/>
      <c r="R57" s="23"/>
      <c r="S57" s="22"/>
      <c r="T57" s="23"/>
      <c r="U57" s="23"/>
      <c r="W57" s="19"/>
    </row>
    <row r="58" spans="1:26" ht="15.75" customHeight="1" x14ac:dyDescent="0.25">
      <c r="A58" s="5">
        <v>58</v>
      </c>
      <c r="B58" s="8">
        <v>20.010000000000002</v>
      </c>
      <c r="C58" s="8">
        <v>19.72</v>
      </c>
      <c r="D58" s="8">
        <v>26.32</v>
      </c>
      <c r="E58" s="8">
        <v>12.87</v>
      </c>
      <c r="F58" s="8">
        <v>21.08</v>
      </c>
      <c r="G58" s="5">
        <v>3</v>
      </c>
      <c r="J58" s="5"/>
      <c r="M58" s="15"/>
      <c r="P58" s="4"/>
      <c r="Q58" s="22"/>
      <c r="R58" s="23"/>
      <c r="S58" s="22"/>
      <c r="T58" s="23"/>
      <c r="U58" s="23"/>
      <c r="W58" s="19"/>
    </row>
    <row r="59" spans="1:26" ht="15.75" customHeight="1" x14ac:dyDescent="0.25">
      <c r="A59" s="5">
        <v>59</v>
      </c>
      <c r="B59" s="5">
        <v>18.93</v>
      </c>
      <c r="C59" s="5">
        <v>10.69</v>
      </c>
      <c r="D59" s="5">
        <v>37.58</v>
      </c>
      <c r="E59" s="5">
        <v>20.25</v>
      </c>
      <c r="F59" s="5">
        <v>12.55</v>
      </c>
      <c r="G59" s="5">
        <v>0</v>
      </c>
      <c r="J59" s="5"/>
      <c r="M59" s="15"/>
      <c r="P59" s="4"/>
      <c r="Q59" s="33"/>
      <c r="R59" s="17"/>
      <c r="S59" s="19"/>
      <c r="T59" s="17"/>
      <c r="U59" s="17"/>
      <c r="V59" s="4"/>
      <c r="W59" s="19"/>
    </row>
    <row r="60" spans="1:26" ht="15.75" customHeight="1" x14ac:dyDescent="0.25">
      <c r="A60" s="5">
        <v>60</v>
      </c>
      <c r="B60" s="8">
        <v>16.61</v>
      </c>
      <c r="C60" s="8">
        <v>17.61</v>
      </c>
      <c r="D60" s="8">
        <v>47.41</v>
      </c>
      <c r="E60" s="8">
        <v>8.68</v>
      </c>
      <c r="F60" s="8">
        <v>9.6999999999999993</v>
      </c>
      <c r="G60" s="5">
        <v>2</v>
      </c>
      <c r="J60" s="5"/>
      <c r="M60" s="15"/>
      <c r="P60" s="3"/>
      <c r="Q60" s="4"/>
      <c r="R60" s="4"/>
      <c r="S60" s="4"/>
      <c r="T60" s="4"/>
      <c r="U60" s="4"/>
      <c r="V60" s="3"/>
      <c r="W60" s="19"/>
    </row>
    <row r="61" spans="1:26" ht="15.75" customHeight="1" x14ac:dyDescent="0.25">
      <c r="A61" s="5">
        <v>61</v>
      </c>
      <c r="B61" s="26"/>
      <c r="C61" s="26"/>
      <c r="D61" s="36"/>
      <c r="E61" s="28"/>
      <c r="F61" s="27"/>
      <c r="G61" s="5">
        <v>0</v>
      </c>
      <c r="J61" s="5"/>
      <c r="M61" s="15"/>
      <c r="P61" s="5"/>
      <c r="Q61" s="10"/>
      <c r="R61" s="10"/>
      <c r="S61" s="10"/>
      <c r="T61" s="10"/>
      <c r="U61" s="10"/>
      <c r="V61" s="5"/>
      <c r="W61" s="22"/>
    </row>
    <row r="62" spans="1:26" ht="15.75" customHeight="1" x14ac:dyDescent="0.25">
      <c r="A62" s="5">
        <v>62</v>
      </c>
      <c r="B62" s="8">
        <v>19.63</v>
      </c>
      <c r="C62" s="8">
        <v>24.78</v>
      </c>
      <c r="D62" s="8">
        <v>29.94</v>
      </c>
      <c r="E62" s="8">
        <v>11.44</v>
      </c>
      <c r="F62" s="8">
        <v>14.21</v>
      </c>
      <c r="G62" s="5">
        <v>1</v>
      </c>
      <c r="J62" s="5"/>
      <c r="M62" s="15"/>
      <c r="P62" s="5"/>
      <c r="Q62" s="10"/>
      <c r="R62" s="10"/>
      <c r="S62" s="10"/>
      <c r="T62" s="10"/>
      <c r="U62" s="10"/>
      <c r="V62" s="5"/>
      <c r="W62" s="19"/>
    </row>
    <row r="63" spans="1:26" ht="15.75" customHeight="1" x14ac:dyDescent="0.25">
      <c r="A63" s="5">
        <v>63</v>
      </c>
      <c r="B63" s="8">
        <v>15.7</v>
      </c>
      <c r="C63" s="8">
        <v>26.81</v>
      </c>
      <c r="D63" s="8">
        <v>36.4</v>
      </c>
      <c r="E63" s="8">
        <v>14.52</v>
      </c>
      <c r="F63" s="8">
        <v>6.58</v>
      </c>
      <c r="G63" s="5">
        <v>1</v>
      </c>
      <c r="J63" s="5"/>
      <c r="M63" s="15"/>
      <c r="P63" s="5"/>
      <c r="Q63" s="10"/>
      <c r="R63" s="10"/>
      <c r="S63" s="10"/>
      <c r="T63" s="10"/>
      <c r="U63" s="10"/>
      <c r="V63" s="5"/>
      <c r="W63" s="19"/>
    </row>
    <row r="64" spans="1:26" ht="15.75" customHeight="1" x14ac:dyDescent="0.25">
      <c r="A64" s="5">
        <v>64</v>
      </c>
      <c r="B64" s="8">
        <v>19.29</v>
      </c>
      <c r="C64" s="8">
        <v>23.2</v>
      </c>
      <c r="D64" s="8">
        <v>39.380000000000003</v>
      </c>
      <c r="E64" s="8">
        <v>10.79</v>
      </c>
      <c r="F64" s="8">
        <v>7.34</v>
      </c>
      <c r="G64" s="5">
        <v>2</v>
      </c>
      <c r="J64" s="5"/>
      <c r="M64" s="15"/>
      <c r="P64" s="5"/>
      <c r="Q64" s="10"/>
      <c r="R64" s="10"/>
      <c r="S64" s="10"/>
      <c r="T64" s="10"/>
      <c r="U64" s="10"/>
      <c r="V64" s="5"/>
    </row>
    <row r="65" spans="1:22" ht="15.75" customHeight="1" x14ac:dyDescent="0.25">
      <c r="A65"/>
      <c r="J65" s="5"/>
      <c r="M65" s="15"/>
      <c r="P65" s="5"/>
      <c r="Q65" s="10"/>
      <c r="R65" s="10"/>
      <c r="S65" s="10"/>
      <c r="T65" s="10"/>
      <c r="U65" s="10"/>
      <c r="V65" s="5"/>
    </row>
    <row r="66" spans="1:22" ht="15.75" customHeight="1" x14ac:dyDescent="0.25">
      <c r="J66" s="5"/>
      <c r="O66" s="5"/>
      <c r="P66" s="5"/>
      <c r="Q66" s="10"/>
      <c r="R66" s="10"/>
      <c r="S66" s="10"/>
      <c r="T66" s="10"/>
      <c r="U66" s="10"/>
      <c r="V66" s="5"/>
    </row>
    <row r="67" spans="1:22" ht="15.75" customHeight="1" x14ac:dyDescent="0.25">
      <c r="O67" s="5"/>
      <c r="P67" s="5"/>
      <c r="Q67" s="10"/>
      <c r="R67" s="10"/>
      <c r="S67" s="10"/>
      <c r="T67" s="10"/>
      <c r="U67" s="10"/>
      <c r="V67" s="5"/>
    </row>
    <row r="68" spans="1:22" ht="15.75" customHeight="1" x14ac:dyDescent="0.25">
      <c r="O68" s="5"/>
      <c r="P68" s="5"/>
      <c r="Q68" s="10"/>
      <c r="R68" s="10"/>
      <c r="S68" s="10"/>
      <c r="T68" s="10"/>
      <c r="U68" s="10"/>
      <c r="V68" s="5"/>
    </row>
    <row r="69" spans="1:22" ht="15.75" customHeight="1" x14ac:dyDescent="0.25">
      <c r="O69" s="5"/>
      <c r="P69" s="5"/>
      <c r="Q69" s="10"/>
      <c r="R69" s="10"/>
      <c r="S69" s="10"/>
      <c r="T69" s="10"/>
      <c r="U69" s="10"/>
      <c r="V69" s="5"/>
    </row>
    <row r="70" spans="1:22" ht="15.75" customHeight="1" x14ac:dyDescent="0.25">
      <c r="O70" s="5"/>
      <c r="P70" s="5"/>
      <c r="Q70" s="10"/>
      <c r="R70" s="10"/>
      <c r="S70" s="10"/>
      <c r="T70" s="10"/>
      <c r="U70" s="10"/>
      <c r="V70" s="5"/>
    </row>
    <row r="71" spans="1:22" ht="15.75" customHeight="1" x14ac:dyDescent="0.25">
      <c r="O71" s="5"/>
      <c r="P71" s="5"/>
      <c r="Q71" s="10"/>
      <c r="R71" s="10"/>
      <c r="S71" s="10"/>
      <c r="T71" s="10"/>
      <c r="U71" s="10"/>
      <c r="V71" s="5"/>
    </row>
    <row r="72" spans="1:22" ht="15.75" customHeight="1" x14ac:dyDescent="0.25">
      <c r="O72" s="5"/>
      <c r="P72" s="5"/>
      <c r="Q72" s="10"/>
      <c r="R72" s="10"/>
      <c r="S72" s="10"/>
      <c r="T72" s="10"/>
      <c r="U72" s="10"/>
      <c r="V72" s="5"/>
    </row>
    <row r="73" spans="1:22" ht="15.75" customHeight="1" x14ac:dyDescent="0.25">
      <c r="O73" s="5"/>
      <c r="P73" s="5"/>
      <c r="Q73" s="10"/>
      <c r="R73" s="10"/>
      <c r="S73" s="10"/>
      <c r="T73" s="10"/>
      <c r="U73" s="10"/>
      <c r="V73" s="5"/>
    </row>
    <row r="74" spans="1:22" ht="15.75" customHeight="1" x14ac:dyDescent="0.25">
      <c r="O74" s="5"/>
      <c r="P74" s="5"/>
      <c r="Q74" s="10"/>
      <c r="R74" s="10"/>
      <c r="S74" s="10"/>
      <c r="T74" s="10"/>
      <c r="U74" s="10"/>
      <c r="V74" s="5"/>
    </row>
    <row r="75" spans="1:22" ht="15.75" customHeight="1" x14ac:dyDescent="0.25">
      <c r="O75" s="5"/>
      <c r="P75" s="5"/>
      <c r="Q75" s="10"/>
      <c r="R75" s="10"/>
      <c r="S75" s="10"/>
      <c r="T75" s="10"/>
      <c r="U75" s="10"/>
      <c r="V75" s="5"/>
    </row>
    <row r="76" spans="1:22" ht="15.75" customHeight="1" x14ac:dyDescent="0.25">
      <c r="O76" s="5"/>
      <c r="P76" s="5"/>
      <c r="Q76" s="10"/>
      <c r="R76" s="10"/>
      <c r="S76" s="10"/>
      <c r="T76" s="10"/>
      <c r="U76" s="10"/>
      <c r="V76" s="5"/>
    </row>
    <row r="77" spans="1:22" ht="15.75" customHeight="1" x14ac:dyDescent="0.25">
      <c r="O77" s="5"/>
      <c r="P77" s="5"/>
      <c r="Q77" s="10"/>
      <c r="R77" s="10"/>
      <c r="S77" s="10"/>
      <c r="T77" s="10"/>
      <c r="U77" s="10"/>
      <c r="V77" s="5"/>
    </row>
    <row r="78" spans="1:22" ht="15.75" customHeight="1" x14ac:dyDescent="0.25">
      <c r="O78" s="5"/>
      <c r="P78" s="5"/>
      <c r="Q78" s="10"/>
      <c r="R78" s="10"/>
      <c r="S78" s="10"/>
      <c r="T78" s="10"/>
      <c r="U78" s="10"/>
      <c r="V78" s="5"/>
    </row>
    <row r="79" spans="1:22" ht="15.75" customHeight="1" x14ac:dyDescent="0.25">
      <c r="O79" s="5"/>
      <c r="P79" s="5"/>
      <c r="Q79" s="10"/>
      <c r="R79" s="10"/>
      <c r="S79" s="10"/>
      <c r="T79" s="10"/>
      <c r="U79" s="10"/>
      <c r="V79" s="5"/>
    </row>
    <row r="80" spans="1:22" ht="15.75" customHeight="1" x14ac:dyDescent="0.25">
      <c r="O80" s="5"/>
      <c r="P80" s="5"/>
      <c r="Q80" s="10"/>
      <c r="R80" s="10"/>
      <c r="S80" s="10"/>
      <c r="T80" s="10"/>
      <c r="U80" s="10"/>
      <c r="V80" s="5"/>
    </row>
    <row r="81" spans="15:22" ht="15.75" customHeight="1" x14ac:dyDescent="0.25">
      <c r="O81" s="5"/>
      <c r="P81" s="5"/>
      <c r="Q81" s="10"/>
      <c r="R81" s="10"/>
      <c r="S81" s="10"/>
      <c r="T81" s="10"/>
      <c r="U81" s="10"/>
      <c r="V81" s="5"/>
    </row>
    <row r="82" spans="15:22" ht="15.75" customHeight="1" x14ac:dyDescent="0.25">
      <c r="O82" s="5"/>
      <c r="P82" s="5"/>
      <c r="Q82" s="10"/>
      <c r="R82" s="10"/>
      <c r="S82" s="10"/>
      <c r="T82" s="10"/>
      <c r="U82" s="10"/>
      <c r="V82" s="5"/>
    </row>
    <row r="83" spans="15:22" ht="15.75" customHeight="1" x14ac:dyDescent="0.25">
      <c r="O83" s="5"/>
      <c r="P83" s="5"/>
      <c r="Q83" s="10"/>
      <c r="R83" s="10"/>
      <c r="S83" s="10"/>
      <c r="T83" s="10"/>
      <c r="U83" s="10"/>
      <c r="V83" s="5"/>
    </row>
    <row r="84" spans="15:22" ht="15.75" customHeight="1" x14ac:dyDescent="0.25">
      <c r="O84" s="5"/>
      <c r="P84" s="5"/>
      <c r="Q84" s="10"/>
      <c r="R84" s="10"/>
      <c r="S84" s="10"/>
      <c r="T84" s="10"/>
      <c r="U84" s="10"/>
      <c r="V84" s="5"/>
    </row>
    <row r="85" spans="15:22" ht="15.75" customHeight="1" x14ac:dyDescent="0.25">
      <c r="O85" s="5"/>
      <c r="P85" s="5"/>
      <c r="Q85" s="10"/>
      <c r="R85" s="10"/>
      <c r="S85" s="10"/>
      <c r="T85" s="10"/>
      <c r="U85" s="10"/>
      <c r="V85" s="5"/>
    </row>
    <row r="86" spans="15:22" ht="15.75" customHeight="1" x14ac:dyDescent="0.25"/>
    <row r="87" spans="15:22" ht="15.75" customHeight="1" x14ac:dyDescent="0.25"/>
    <row r="88" spans="15:22" ht="15.75" customHeight="1" x14ac:dyDescent="0.25"/>
    <row r="89" spans="15:22" ht="15.75" customHeight="1" x14ac:dyDescent="0.25"/>
    <row r="90" spans="15:22" ht="15.75" customHeight="1" x14ac:dyDescent="0.25"/>
    <row r="91" spans="15:22" ht="15.75" customHeight="1" x14ac:dyDescent="0.25"/>
    <row r="92" spans="15:22" ht="15.75" customHeight="1" x14ac:dyDescent="0.25"/>
    <row r="93" spans="15:22" ht="15.75" customHeight="1" x14ac:dyDescent="0.25"/>
    <row r="94" spans="15:22" ht="15.75" customHeight="1" x14ac:dyDescent="0.25"/>
    <row r="95" spans="15:22" ht="15.75" customHeight="1" x14ac:dyDescent="0.25"/>
    <row r="96" spans="15:22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autoFilter ref="A1:G64"/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000"/>
  <sheetViews>
    <sheetView topLeftCell="A37" zoomScale="85" zoomScaleNormal="85" workbookViewId="0">
      <selection activeCell="B1" sqref="B1:F64"/>
    </sheetView>
  </sheetViews>
  <sheetFormatPr defaultColWidth="14.42578125" defaultRowHeight="15" customHeight="1" x14ac:dyDescent="0.25"/>
  <cols>
    <col min="1" max="1" width="22.140625" style="1" customWidth="1"/>
    <col min="2" max="2" width="18.28515625" style="1" customWidth="1"/>
    <col min="3" max="3" width="15.140625" style="1" customWidth="1"/>
    <col min="4" max="9" width="8.7109375" style="1" customWidth="1"/>
    <col min="10" max="10" width="13" style="1" customWidth="1"/>
    <col min="11" max="15" width="8.7109375" style="1" customWidth="1"/>
    <col min="16" max="16" width="10.5703125" style="1" customWidth="1"/>
    <col min="17" max="18" width="10.42578125" style="1" customWidth="1"/>
    <col min="19" max="23" width="8.7109375" style="1" customWidth="1"/>
    <col min="24" max="24" width="11.140625" style="1" customWidth="1"/>
    <col min="25" max="30" width="8.7109375" style="1" customWidth="1"/>
  </cols>
  <sheetData>
    <row r="1" spans="1:29" ht="15" customHeight="1" x14ac:dyDescent="0.25">
      <c r="A1" s="3" t="s">
        <v>2</v>
      </c>
      <c r="B1" s="5" t="s">
        <v>13</v>
      </c>
      <c r="C1" s="5" t="s">
        <v>14</v>
      </c>
      <c r="D1" s="5" t="s">
        <v>15</v>
      </c>
      <c r="E1" s="5" t="s">
        <v>18</v>
      </c>
      <c r="F1" s="5" t="s">
        <v>17</v>
      </c>
      <c r="G1" s="41" t="s">
        <v>1</v>
      </c>
    </row>
    <row r="2" spans="1:29" x14ac:dyDescent="0.25">
      <c r="A2" s="5">
        <v>1</v>
      </c>
      <c r="B2" s="44">
        <v>24.36</v>
      </c>
      <c r="C2" s="44">
        <v>28.71</v>
      </c>
      <c r="D2" s="44">
        <v>29.38</v>
      </c>
      <c r="E2" s="44">
        <v>19.88</v>
      </c>
      <c r="F2" s="44">
        <v>15.56</v>
      </c>
      <c r="G2" s="6">
        <v>2</v>
      </c>
      <c r="Q2" s="42"/>
      <c r="R2" s="42"/>
      <c r="S2" s="43"/>
      <c r="T2" s="42"/>
      <c r="U2" s="42"/>
    </row>
    <row r="3" spans="1:29" s="4" customFormat="1" x14ac:dyDescent="0.25">
      <c r="A3" s="5">
        <v>2</v>
      </c>
      <c r="B3" s="44">
        <v>21.81</v>
      </c>
      <c r="C3" s="44">
        <v>22.82</v>
      </c>
      <c r="D3" s="44">
        <v>26.12</v>
      </c>
      <c r="E3" s="44">
        <v>17.350000000000001</v>
      </c>
      <c r="F3" s="44">
        <v>11.9</v>
      </c>
      <c r="G3" s="6">
        <v>2</v>
      </c>
      <c r="J3" s="5"/>
      <c r="K3" s="1"/>
      <c r="R3" s="16"/>
      <c r="S3" s="16"/>
      <c r="T3" s="16"/>
      <c r="U3" s="16"/>
    </row>
    <row r="4" spans="1:29" s="4" customFormat="1" x14ac:dyDescent="0.25">
      <c r="A4" s="5">
        <v>3</v>
      </c>
      <c r="B4" s="45">
        <v>29.41</v>
      </c>
      <c r="C4" s="45">
        <v>23.52</v>
      </c>
      <c r="D4" s="45">
        <v>23.52</v>
      </c>
      <c r="E4" s="45">
        <v>11.76</v>
      </c>
      <c r="F4" s="45">
        <v>11.76</v>
      </c>
      <c r="G4" s="6">
        <v>2</v>
      </c>
      <c r="I4" s="16"/>
      <c r="J4" s="5"/>
      <c r="K4" s="1"/>
      <c r="L4" s="16"/>
      <c r="O4" s="5"/>
      <c r="R4" s="16"/>
      <c r="U4" s="5"/>
      <c r="X4" s="16"/>
      <c r="Y4" s="16"/>
      <c r="Z4" s="16"/>
      <c r="AA4" s="16"/>
      <c r="AB4" s="23"/>
      <c r="AC4" s="23"/>
    </row>
    <row r="5" spans="1:29" x14ac:dyDescent="0.25">
      <c r="A5" s="5">
        <v>4</v>
      </c>
      <c r="B5" s="44">
        <v>37.92</v>
      </c>
      <c r="C5" s="44">
        <v>19.34</v>
      </c>
      <c r="D5" s="44">
        <v>14.05</v>
      </c>
      <c r="E5" s="44">
        <v>20.81</v>
      </c>
      <c r="F5" s="44">
        <v>7.88</v>
      </c>
      <c r="G5" s="6">
        <v>2</v>
      </c>
      <c r="I5" s="16"/>
      <c r="J5" s="5"/>
      <c r="L5" s="16"/>
      <c r="N5" s="4"/>
      <c r="O5" s="4"/>
      <c r="P5" s="4"/>
      <c r="Q5" s="4"/>
      <c r="R5" s="4"/>
      <c r="T5" s="4"/>
      <c r="U5" s="4"/>
      <c r="V5" s="4"/>
      <c r="W5" s="4"/>
      <c r="X5" s="4"/>
      <c r="Y5" s="4"/>
      <c r="Z5" s="4"/>
      <c r="AA5" s="41"/>
      <c r="AB5" s="23"/>
    </row>
    <row r="6" spans="1:29" x14ac:dyDescent="0.25">
      <c r="A6" s="5">
        <v>5</v>
      </c>
      <c r="B6" s="44">
        <v>25.73</v>
      </c>
      <c r="C6" s="44">
        <v>30.89</v>
      </c>
      <c r="D6" s="44">
        <v>15.9</v>
      </c>
      <c r="E6" s="44">
        <v>19.399999999999999</v>
      </c>
      <c r="F6" s="44">
        <v>8.1</v>
      </c>
      <c r="G6" s="6">
        <v>2</v>
      </c>
      <c r="I6" s="16"/>
      <c r="J6" s="5"/>
      <c r="L6" s="22"/>
      <c r="O6" s="4"/>
      <c r="P6" s="21"/>
      <c r="Q6" s="21"/>
      <c r="R6" s="22"/>
      <c r="U6" s="4"/>
      <c r="V6" s="21"/>
      <c r="W6" s="21"/>
      <c r="X6" s="22"/>
      <c r="Y6" s="23"/>
      <c r="Z6" s="22"/>
      <c r="AB6" s="17"/>
      <c r="AC6" s="4"/>
    </row>
    <row r="7" spans="1:29" x14ac:dyDescent="0.25">
      <c r="A7" s="5">
        <v>6</v>
      </c>
      <c r="B7" s="44">
        <v>11.85</v>
      </c>
      <c r="C7" s="44">
        <v>12.19</v>
      </c>
      <c r="D7" s="44">
        <v>24.52</v>
      </c>
      <c r="E7" s="44">
        <v>27.09</v>
      </c>
      <c r="F7" s="44">
        <v>24.35</v>
      </c>
      <c r="G7" s="16">
        <v>1</v>
      </c>
      <c r="I7" s="16"/>
      <c r="J7" s="5"/>
      <c r="L7" s="22"/>
      <c r="O7" s="4"/>
      <c r="P7" s="21"/>
      <c r="Q7" s="21"/>
      <c r="R7" s="24"/>
      <c r="U7" s="4"/>
      <c r="V7" s="21"/>
      <c r="W7" s="21"/>
      <c r="X7" s="24"/>
      <c r="Y7" s="23"/>
      <c r="Z7" s="22"/>
      <c r="AB7" s="23"/>
      <c r="AC7" s="4"/>
    </row>
    <row r="8" spans="1:29" x14ac:dyDescent="0.25">
      <c r="A8" s="5">
        <v>7</v>
      </c>
      <c r="B8" s="5"/>
      <c r="C8" s="5"/>
      <c r="D8" s="5"/>
      <c r="E8" s="5"/>
      <c r="F8" s="5"/>
      <c r="G8" s="6">
        <v>3</v>
      </c>
      <c r="I8" s="16"/>
      <c r="J8" s="5"/>
      <c r="L8" s="22"/>
      <c r="N8" s="5"/>
      <c r="O8" s="4"/>
      <c r="P8" s="46"/>
      <c r="Q8" s="46"/>
      <c r="R8" s="47"/>
      <c r="T8" s="5"/>
      <c r="U8" s="4"/>
      <c r="V8" s="46"/>
      <c r="W8" s="46"/>
      <c r="X8" s="47"/>
      <c r="Y8" s="37"/>
      <c r="Z8" s="48"/>
      <c r="AB8" s="23"/>
      <c r="AC8" s="4"/>
    </row>
    <row r="9" spans="1:29" x14ac:dyDescent="0.25">
      <c r="A9" s="5">
        <v>8</v>
      </c>
      <c r="B9" s="49">
        <v>29</v>
      </c>
      <c r="C9" s="49">
        <v>21</v>
      </c>
      <c r="D9" s="49">
        <v>21</v>
      </c>
      <c r="E9" s="49">
        <v>24</v>
      </c>
      <c r="F9" s="49">
        <v>12</v>
      </c>
      <c r="G9" s="6">
        <v>2</v>
      </c>
      <c r="I9" s="16"/>
      <c r="J9" s="5"/>
      <c r="L9" s="22"/>
      <c r="N9" s="5"/>
      <c r="O9" s="4"/>
      <c r="P9" s="46"/>
      <c r="Q9" s="46"/>
      <c r="R9" s="48"/>
      <c r="T9" s="5"/>
      <c r="U9" s="4"/>
      <c r="V9" s="46"/>
      <c r="W9" s="46"/>
      <c r="X9" s="48"/>
      <c r="Y9" s="37"/>
      <c r="Z9" s="48"/>
      <c r="AC9" s="4"/>
    </row>
    <row r="10" spans="1:29" x14ac:dyDescent="0.25">
      <c r="A10" s="5">
        <v>9</v>
      </c>
      <c r="B10" s="44">
        <v>28.7</v>
      </c>
      <c r="C10" s="44">
        <v>21.7</v>
      </c>
      <c r="D10" s="44">
        <v>22.6</v>
      </c>
      <c r="E10" s="44">
        <v>17</v>
      </c>
      <c r="F10" s="44">
        <v>9.9</v>
      </c>
      <c r="G10" s="6">
        <v>0</v>
      </c>
      <c r="I10" s="16"/>
      <c r="J10" s="5"/>
      <c r="L10" s="22"/>
      <c r="N10" s="5"/>
      <c r="O10" s="4"/>
      <c r="P10" s="9"/>
      <c r="Q10" s="9"/>
      <c r="R10" s="9"/>
      <c r="T10" s="5"/>
      <c r="U10" s="4"/>
      <c r="V10" s="9"/>
      <c r="W10" s="9"/>
      <c r="X10" s="9"/>
      <c r="Y10" s="9"/>
      <c r="Z10" s="9"/>
    </row>
    <row r="11" spans="1:29" x14ac:dyDescent="0.25">
      <c r="A11" s="5">
        <v>10</v>
      </c>
      <c r="B11" s="5"/>
      <c r="C11" s="5"/>
      <c r="D11" s="5"/>
      <c r="E11" s="5"/>
      <c r="F11" s="5"/>
      <c r="G11" s="6">
        <v>2</v>
      </c>
      <c r="I11" s="16"/>
      <c r="J11" s="5"/>
      <c r="N11" s="5"/>
      <c r="O11" s="4"/>
      <c r="P11" s="9"/>
      <c r="Q11" s="9"/>
      <c r="R11" s="9"/>
      <c r="T11" s="5"/>
      <c r="U11" s="4"/>
      <c r="V11" s="9"/>
      <c r="W11" s="9"/>
      <c r="X11" s="9"/>
      <c r="Y11" s="9"/>
      <c r="Z11" s="9"/>
    </row>
    <row r="12" spans="1:29" x14ac:dyDescent="0.25">
      <c r="A12" s="5">
        <v>11</v>
      </c>
      <c r="B12" s="50">
        <v>27</v>
      </c>
      <c r="C12" s="44">
        <v>27.2</v>
      </c>
      <c r="D12" s="44">
        <v>20.2</v>
      </c>
      <c r="E12" s="44">
        <v>17.600000000000001</v>
      </c>
      <c r="F12" s="44">
        <v>7.7</v>
      </c>
      <c r="G12" s="6">
        <v>0</v>
      </c>
      <c r="I12" s="16"/>
      <c r="J12" s="5"/>
      <c r="L12" s="22"/>
      <c r="N12" s="5"/>
      <c r="O12" s="4"/>
      <c r="P12" s="9"/>
      <c r="Q12" s="9"/>
      <c r="R12" s="9"/>
      <c r="T12" s="5"/>
      <c r="U12" s="4"/>
      <c r="V12" s="9"/>
      <c r="W12" s="9"/>
      <c r="X12" s="9"/>
      <c r="Y12" s="9"/>
      <c r="Z12" s="9"/>
    </row>
    <row r="13" spans="1:29" x14ac:dyDescent="0.25">
      <c r="A13" s="5">
        <v>12</v>
      </c>
      <c r="B13" s="6"/>
      <c r="C13" s="6"/>
      <c r="D13" s="6"/>
      <c r="E13" s="6"/>
      <c r="F13" s="6"/>
      <c r="G13" s="6">
        <v>3</v>
      </c>
      <c r="I13" s="16"/>
      <c r="J13" s="5"/>
      <c r="L13" s="22"/>
      <c r="N13" s="5"/>
      <c r="O13" s="4"/>
      <c r="P13" s="9"/>
      <c r="Q13" s="9"/>
      <c r="R13" s="9"/>
      <c r="T13" s="5"/>
      <c r="U13" s="4"/>
      <c r="V13" s="9"/>
      <c r="W13" s="9"/>
      <c r="X13" s="9"/>
      <c r="Y13" s="9"/>
      <c r="Z13" s="9"/>
    </row>
    <row r="14" spans="1:29" x14ac:dyDescent="0.25">
      <c r="A14" s="5">
        <v>13</v>
      </c>
      <c r="B14" s="44">
        <v>24.91</v>
      </c>
      <c r="C14" s="44">
        <v>26.43</v>
      </c>
      <c r="D14" s="44">
        <v>18.5</v>
      </c>
      <c r="E14" s="44">
        <v>20.260000000000002</v>
      </c>
      <c r="F14" s="44">
        <v>9.9</v>
      </c>
      <c r="G14" s="6">
        <v>2</v>
      </c>
      <c r="I14" s="16"/>
      <c r="J14" s="5"/>
      <c r="L14" s="19"/>
      <c r="N14" s="5"/>
      <c r="O14" s="4"/>
      <c r="P14" s="9"/>
      <c r="Q14" s="9"/>
      <c r="R14" s="9"/>
      <c r="T14" s="5"/>
      <c r="U14" s="4"/>
      <c r="V14" s="9"/>
      <c r="W14" s="9"/>
      <c r="X14" s="9"/>
      <c r="Y14" s="9"/>
      <c r="Z14" s="9"/>
    </row>
    <row r="15" spans="1:29" x14ac:dyDescent="0.25">
      <c r="A15" s="5">
        <v>14</v>
      </c>
      <c r="B15" s="26"/>
      <c r="C15" s="26"/>
      <c r="D15" s="27"/>
      <c r="E15" s="28"/>
      <c r="F15" s="27"/>
      <c r="G15" s="6">
        <v>3</v>
      </c>
      <c r="I15" s="16"/>
      <c r="J15" s="5"/>
      <c r="L15" s="22"/>
      <c r="N15" s="5"/>
      <c r="O15" s="4"/>
      <c r="P15" s="9"/>
      <c r="Q15" s="9"/>
      <c r="R15" s="9"/>
      <c r="T15" s="5"/>
      <c r="U15" s="4"/>
      <c r="V15" s="9"/>
      <c r="W15" s="9"/>
      <c r="X15" s="9"/>
      <c r="Y15" s="9"/>
      <c r="Z15" s="9"/>
    </row>
    <row r="16" spans="1:29" x14ac:dyDescent="0.25">
      <c r="A16" s="5">
        <v>15</v>
      </c>
      <c r="B16" s="29"/>
      <c r="C16" s="29"/>
      <c r="D16" s="30"/>
      <c r="E16" s="31"/>
      <c r="F16" s="32"/>
      <c r="G16" s="6">
        <v>3</v>
      </c>
      <c r="I16" s="16"/>
      <c r="J16" s="5"/>
      <c r="L16" s="22"/>
      <c r="N16" s="5"/>
      <c r="O16" s="4"/>
      <c r="P16" s="9"/>
      <c r="Q16" s="9"/>
      <c r="R16" s="9"/>
      <c r="T16" s="5"/>
      <c r="U16" s="4"/>
      <c r="V16" s="9"/>
      <c r="W16" s="9"/>
      <c r="X16" s="9"/>
      <c r="Y16" s="9"/>
      <c r="Z16" s="9"/>
    </row>
    <row r="17" spans="1:30" x14ac:dyDescent="0.25">
      <c r="A17" s="5">
        <v>16</v>
      </c>
      <c r="B17" s="44">
        <v>25.1</v>
      </c>
      <c r="C17" s="44">
        <v>24.63</v>
      </c>
      <c r="D17" s="44">
        <v>21.59</v>
      </c>
      <c r="E17" s="44">
        <v>16.75</v>
      </c>
      <c r="F17" s="44">
        <v>11.93</v>
      </c>
      <c r="G17" s="6">
        <v>2</v>
      </c>
      <c r="I17" s="16"/>
      <c r="J17" s="5"/>
      <c r="O17" s="4"/>
      <c r="U17" s="4"/>
    </row>
    <row r="18" spans="1:30" s="4" customFormat="1" x14ac:dyDescent="0.25">
      <c r="A18" s="5">
        <v>17</v>
      </c>
      <c r="B18" s="44">
        <v>26.6</v>
      </c>
      <c r="C18" s="44">
        <v>34.5</v>
      </c>
      <c r="D18" s="44">
        <v>27.5</v>
      </c>
      <c r="E18" s="44">
        <v>23.2</v>
      </c>
      <c r="F18" s="44">
        <v>9.1</v>
      </c>
      <c r="G18" s="6">
        <v>0</v>
      </c>
      <c r="I18" s="16"/>
      <c r="J18" s="5"/>
      <c r="K18" s="1"/>
      <c r="L18" s="22"/>
      <c r="M18" s="1"/>
      <c r="N18" s="1"/>
      <c r="P18" s="21"/>
      <c r="Q18" s="21"/>
      <c r="R18" s="22"/>
      <c r="S18" s="1"/>
      <c r="T18" s="1"/>
      <c r="V18" s="21"/>
      <c r="W18" s="21"/>
      <c r="X18" s="22"/>
      <c r="Y18" s="23"/>
      <c r="Z18" s="22"/>
      <c r="AA18" s="1"/>
      <c r="AB18" s="1"/>
      <c r="AC18" s="1"/>
      <c r="AD18" s="1"/>
    </row>
    <row r="19" spans="1:30" s="4" customFormat="1" x14ac:dyDescent="0.25">
      <c r="A19" s="5">
        <v>18</v>
      </c>
      <c r="B19" s="44">
        <v>25.36</v>
      </c>
      <c r="C19" s="44">
        <v>23.4</v>
      </c>
      <c r="D19" s="44">
        <v>23.47</v>
      </c>
      <c r="E19" s="44">
        <v>13.6</v>
      </c>
      <c r="F19" s="44">
        <v>14.18</v>
      </c>
      <c r="G19" s="6">
        <v>2</v>
      </c>
      <c r="I19" s="16"/>
      <c r="J19" s="5"/>
      <c r="K19" s="1"/>
      <c r="L19" s="22"/>
      <c r="M19" s="1"/>
      <c r="N19" s="1"/>
      <c r="P19" s="21"/>
      <c r="Q19" s="21"/>
      <c r="R19" s="22"/>
      <c r="S19" s="1"/>
      <c r="T19" s="1"/>
      <c r="V19" s="21"/>
      <c r="W19" s="21"/>
      <c r="X19" s="22"/>
      <c r="Y19" s="23"/>
      <c r="Z19" s="22"/>
      <c r="AA19" s="1"/>
      <c r="AB19" s="1"/>
      <c r="AC19" s="1"/>
      <c r="AD19" s="1"/>
    </row>
    <row r="20" spans="1:30" s="4" customFormat="1" x14ac:dyDescent="0.25">
      <c r="A20" s="5">
        <v>19</v>
      </c>
      <c r="B20" s="44">
        <v>24.06</v>
      </c>
      <c r="C20" s="44">
        <v>26.22</v>
      </c>
      <c r="D20" s="44">
        <v>17.61</v>
      </c>
      <c r="E20" s="44">
        <v>21.05</v>
      </c>
      <c r="F20" s="44">
        <v>11.06</v>
      </c>
      <c r="G20" s="6">
        <v>2</v>
      </c>
      <c r="I20" s="16"/>
      <c r="J20" s="5"/>
      <c r="K20" s="1"/>
      <c r="L20" s="22"/>
      <c r="M20" s="1"/>
      <c r="N20" s="1"/>
      <c r="P20" s="25"/>
      <c r="Q20" s="25"/>
      <c r="R20" s="33"/>
      <c r="S20" s="1"/>
      <c r="T20" s="1"/>
      <c r="V20" s="25"/>
      <c r="W20" s="25"/>
      <c r="X20" s="33"/>
      <c r="Y20" s="17"/>
      <c r="Z20" s="19"/>
      <c r="AA20" s="1"/>
      <c r="AB20" s="1"/>
      <c r="AC20" s="1"/>
      <c r="AD20" s="1"/>
    </row>
    <row r="21" spans="1:30" s="4" customFormat="1" ht="15.75" customHeight="1" x14ac:dyDescent="0.25">
      <c r="A21" s="5">
        <v>20</v>
      </c>
      <c r="B21" s="5"/>
      <c r="C21" s="5"/>
      <c r="D21" s="5"/>
      <c r="E21" s="5"/>
      <c r="F21" s="5"/>
      <c r="G21" s="6">
        <v>3</v>
      </c>
      <c r="I21" s="16"/>
      <c r="J21" s="5"/>
      <c r="K21" s="1"/>
      <c r="L21" s="22"/>
      <c r="M21" s="1"/>
      <c r="N21" s="1"/>
      <c r="P21" s="25"/>
      <c r="Q21" s="25"/>
      <c r="R21" s="33"/>
      <c r="S21" s="1"/>
      <c r="T21" s="1"/>
      <c r="V21" s="25"/>
      <c r="W21" s="25"/>
      <c r="X21" s="33"/>
      <c r="Y21" s="17"/>
      <c r="Z21" s="19"/>
      <c r="AA21" s="1"/>
      <c r="AB21" s="1"/>
      <c r="AC21" s="1"/>
      <c r="AD21" s="21"/>
    </row>
    <row r="22" spans="1:30" s="4" customFormat="1" ht="15.75" customHeight="1" x14ac:dyDescent="0.25">
      <c r="A22" s="5">
        <v>21</v>
      </c>
      <c r="B22" s="26"/>
      <c r="C22" s="26"/>
      <c r="D22" s="36"/>
      <c r="E22" s="28"/>
      <c r="F22" s="27"/>
      <c r="G22" s="6">
        <v>3</v>
      </c>
      <c r="I22" s="16"/>
      <c r="J22" s="5"/>
      <c r="K22" s="1"/>
      <c r="L22" s="22"/>
      <c r="P22" s="21"/>
      <c r="Q22" s="21"/>
      <c r="R22" s="22"/>
      <c r="V22" s="21"/>
      <c r="W22" s="21"/>
      <c r="X22" s="22"/>
      <c r="Y22" s="23"/>
      <c r="Z22" s="22"/>
      <c r="AA22" s="23"/>
    </row>
    <row r="23" spans="1:30" s="4" customFormat="1" ht="15.75" customHeight="1" x14ac:dyDescent="0.25">
      <c r="A23" s="5">
        <v>22</v>
      </c>
      <c r="B23" s="5"/>
      <c r="C23" s="5"/>
      <c r="D23" s="5"/>
      <c r="E23" s="5"/>
      <c r="F23" s="5"/>
      <c r="G23" s="6">
        <v>3</v>
      </c>
      <c r="I23" s="16"/>
      <c r="J23" s="5"/>
      <c r="K23" s="1"/>
      <c r="O23" s="5"/>
      <c r="U23" s="5"/>
    </row>
    <row r="24" spans="1:30" s="4" customFormat="1" ht="15.75" customHeight="1" x14ac:dyDescent="0.25">
      <c r="A24" s="5">
        <v>23</v>
      </c>
      <c r="B24" s="44">
        <v>26.6</v>
      </c>
      <c r="C24" s="44">
        <v>27.5</v>
      </c>
      <c r="D24" s="44">
        <v>19.600000000000001</v>
      </c>
      <c r="E24" s="44">
        <v>19.100000000000001</v>
      </c>
      <c r="F24" s="44">
        <v>7.2</v>
      </c>
      <c r="G24" s="6">
        <v>0</v>
      </c>
      <c r="I24" s="16"/>
      <c r="J24" s="5"/>
      <c r="K24" s="1"/>
      <c r="L24" s="22"/>
      <c r="P24" s="1"/>
      <c r="Q24" s="1"/>
      <c r="R24" s="1"/>
      <c r="AA24" s="41"/>
    </row>
    <row r="25" spans="1:30" s="4" customFormat="1" ht="15.75" customHeight="1" x14ac:dyDescent="0.25">
      <c r="A25" s="5">
        <v>24</v>
      </c>
      <c r="B25" s="6"/>
      <c r="C25" s="6"/>
      <c r="D25" s="6"/>
      <c r="E25" s="6"/>
      <c r="F25" s="6"/>
      <c r="G25" s="6">
        <v>0</v>
      </c>
      <c r="I25" s="16"/>
      <c r="J25" s="5"/>
      <c r="K25" s="1"/>
      <c r="L25" s="19"/>
      <c r="P25" s="51"/>
      <c r="Q25" s="51"/>
      <c r="R25" s="51"/>
      <c r="V25" s="51"/>
      <c r="W25" s="51"/>
      <c r="X25" s="51"/>
      <c r="Y25" s="51"/>
      <c r="Z25" s="51"/>
      <c r="AA25" s="1"/>
    </row>
    <row r="26" spans="1:30" s="4" customFormat="1" ht="15.75" customHeight="1" x14ac:dyDescent="0.25">
      <c r="A26" s="5">
        <v>26</v>
      </c>
      <c r="B26" s="26"/>
      <c r="C26" s="26"/>
      <c r="D26" s="27"/>
      <c r="E26" s="28"/>
      <c r="F26" s="27"/>
      <c r="G26" s="6">
        <v>3</v>
      </c>
      <c r="I26" s="16"/>
      <c r="J26" s="5"/>
      <c r="K26" s="1"/>
      <c r="L26" s="19"/>
      <c r="P26" s="51"/>
      <c r="Q26" s="51"/>
      <c r="R26" s="51"/>
      <c r="V26" s="51"/>
      <c r="W26" s="51"/>
      <c r="X26" s="51"/>
      <c r="Y26" s="51"/>
      <c r="Z26" s="51"/>
      <c r="AA26" s="1"/>
    </row>
    <row r="27" spans="1:30" s="4" customFormat="1" ht="15.75" customHeight="1" x14ac:dyDescent="0.25">
      <c r="A27" s="5">
        <v>27</v>
      </c>
      <c r="B27" s="44">
        <v>30.15</v>
      </c>
      <c r="C27" s="44">
        <v>22.12</v>
      </c>
      <c r="D27" s="44">
        <v>29.15</v>
      </c>
      <c r="E27" s="44">
        <v>24.63</v>
      </c>
      <c r="F27" s="44">
        <v>16.07</v>
      </c>
      <c r="G27" s="6">
        <v>2</v>
      </c>
      <c r="I27" s="16"/>
      <c r="J27" s="5"/>
      <c r="K27" s="1"/>
      <c r="L27" s="22"/>
      <c r="P27" s="51"/>
      <c r="Q27" s="51"/>
      <c r="R27" s="51"/>
      <c r="V27" s="52"/>
      <c r="W27" s="51"/>
      <c r="X27" s="51"/>
      <c r="Y27" s="51"/>
      <c r="Z27" s="51"/>
      <c r="AA27" s="1"/>
    </row>
    <row r="28" spans="1:30" s="4" customFormat="1" ht="15.75" customHeight="1" x14ac:dyDescent="0.25">
      <c r="A28" s="5">
        <v>28</v>
      </c>
      <c r="B28" s="44">
        <v>26.91</v>
      </c>
      <c r="C28" s="44">
        <v>23.26</v>
      </c>
      <c r="D28" s="44">
        <v>21.11</v>
      </c>
      <c r="E28" s="44">
        <v>18.53</v>
      </c>
      <c r="F28" s="44">
        <v>10.19</v>
      </c>
      <c r="G28" s="6">
        <v>2</v>
      </c>
      <c r="I28" s="16"/>
      <c r="J28" s="5"/>
      <c r="K28" s="1"/>
      <c r="L28" s="22"/>
      <c r="P28" s="51"/>
      <c r="Q28" s="51"/>
      <c r="R28" s="51"/>
      <c r="V28" s="51"/>
      <c r="W28" s="51"/>
      <c r="X28" s="51"/>
      <c r="Y28" s="51"/>
      <c r="Z28" s="51"/>
      <c r="AA28" s="1"/>
    </row>
    <row r="29" spans="1:30" s="4" customFormat="1" ht="15.75" customHeight="1" x14ac:dyDescent="0.25">
      <c r="A29" s="5">
        <v>29</v>
      </c>
      <c r="B29" s="5"/>
      <c r="C29" s="5"/>
      <c r="D29" s="5"/>
      <c r="E29" s="5"/>
      <c r="F29" s="5"/>
      <c r="G29" s="6">
        <v>3</v>
      </c>
      <c r="I29" s="16"/>
      <c r="J29" s="5"/>
      <c r="K29" s="1"/>
      <c r="P29" s="51"/>
      <c r="Q29" s="51"/>
      <c r="R29" s="51"/>
      <c r="V29" s="51"/>
      <c r="W29" s="51"/>
      <c r="X29" s="51"/>
      <c r="Y29" s="51"/>
      <c r="Z29" s="51"/>
      <c r="AA29" s="1"/>
    </row>
    <row r="30" spans="1:30" s="4" customFormat="1" ht="15.75" customHeight="1" x14ac:dyDescent="0.25">
      <c r="A30" s="5">
        <v>30</v>
      </c>
      <c r="B30" s="44">
        <v>22.66</v>
      </c>
      <c r="C30" s="44">
        <v>22.71</v>
      </c>
      <c r="D30" s="44">
        <v>21.97</v>
      </c>
      <c r="E30" s="44">
        <v>19.059999999999999</v>
      </c>
      <c r="F30" s="44">
        <v>13.61</v>
      </c>
      <c r="G30" s="6">
        <v>2</v>
      </c>
      <c r="I30" s="16"/>
      <c r="J30" s="5"/>
      <c r="K30" s="1"/>
      <c r="L30" s="22"/>
      <c r="P30" s="51"/>
      <c r="Q30" s="51"/>
      <c r="R30" s="51"/>
      <c r="V30" s="51"/>
      <c r="W30" s="51"/>
      <c r="X30" s="51"/>
      <c r="Y30" s="51"/>
      <c r="Z30" s="51"/>
      <c r="AA30" s="1"/>
    </row>
    <row r="31" spans="1:30" s="4" customFormat="1" ht="15.75" customHeight="1" x14ac:dyDescent="0.25">
      <c r="A31" s="5">
        <v>31</v>
      </c>
      <c r="B31" s="53"/>
      <c r="C31" s="53"/>
      <c r="D31" s="54"/>
      <c r="E31" s="39"/>
      <c r="F31" s="55"/>
      <c r="G31" s="6">
        <v>3</v>
      </c>
      <c r="I31" s="16"/>
      <c r="J31" s="5"/>
      <c r="K31" s="1"/>
      <c r="L31" s="22"/>
      <c r="P31" s="51"/>
      <c r="Q31" s="51"/>
      <c r="R31" s="51"/>
      <c r="V31" s="51"/>
      <c r="W31" s="51"/>
      <c r="X31" s="51"/>
      <c r="Y31" s="51"/>
      <c r="Z31" s="51"/>
      <c r="AA31" s="1"/>
    </row>
    <row r="32" spans="1:30" s="4" customFormat="1" ht="15.75" customHeight="1" x14ac:dyDescent="0.25">
      <c r="A32" s="5">
        <v>32</v>
      </c>
      <c r="B32" s="44">
        <v>11.1</v>
      </c>
      <c r="C32" s="44">
        <v>17.510000000000002</v>
      </c>
      <c r="D32" s="44">
        <v>27.65</v>
      </c>
      <c r="E32" s="44">
        <v>22.61</v>
      </c>
      <c r="F32" s="44">
        <v>21.14</v>
      </c>
      <c r="G32" s="16">
        <v>1</v>
      </c>
      <c r="I32" s="16"/>
      <c r="J32" s="5"/>
      <c r="K32" s="1"/>
      <c r="L32" s="22"/>
      <c r="P32" s="51"/>
      <c r="Q32" s="51"/>
      <c r="R32" s="51"/>
      <c r="V32" s="52"/>
      <c r="W32" s="51"/>
      <c r="X32" s="51"/>
      <c r="Y32" s="51"/>
      <c r="Z32" s="51"/>
      <c r="AA32" s="1"/>
    </row>
    <row r="33" spans="1:30" s="4" customFormat="1" ht="15.75" customHeight="1" x14ac:dyDescent="0.25">
      <c r="A33" s="5">
        <v>33</v>
      </c>
      <c r="B33" s="44">
        <v>21.26</v>
      </c>
      <c r="C33" s="44">
        <v>25.22</v>
      </c>
      <c r="D33" s="44">
        <v>21.82</v>
      </c>
      <c r="E33" s="44">
        <v>16.96</v>
      </c>
      <c r="F33" s="44">
        <v>14.74</v>
      </c>
      <c r="G33" s="6">
        <v>2</v>
      </c>
      <c r="I33" s="16"/>
      <c r="J33" s="5"/>
      <c r="K33" s="1"/>
      <c r="L33" s="22"/>
      <c r="P33" s="51"/>
      <c r="Q33" s="51"/>
      <c r="R33" s="51"/>
      <c r="V33" s="51"/>
      <c r="W33" s="51"/>
      <c r="X33" s="51"/>
      <c r="Y33" s="51"/>
      <c r="Z33" s="51"/>
      <c r="AA33" s="1"/>
    </row>
    <row r="34" spans="1:30" s="4" customFormat="1" ht="15.75" customHeight="1" x14ac:dyDescent="0.25">
      <c r="A34" s="5">
        <v>34</v>
      </c>
      <c r="B34" s="5"/>
      <c r="C34" s="5"/>
      <c r="D34" s="5"/>
      <c r="E34" s="5"/>
      <c r="F34" s="5"/>
      <c r="G34" s="6">
        <v>3</v>
      </c>
      <c r="I34" s="16"/>
      <c r="J34" s="5"/>
      <c r="K34" s="1"/>
      <c r="L34" s="22"/>
      <c r="P34" s="51"/>
      <c r="Q34" s="51"/>
      <c r="R34" s="51"/>
      <c r="V34" s="51"/>
      <c r="W34" s="51"/>
      <c r="X34" s="51"/>
      <c r="Y34" s="51"/>
      <c r="Z34" s="51"/>
      <c r="AA34" s="1"/>
    </row>
    <row r="35" spans="1:30" s="4" customFormat="1" ht="15.75" customHeight="1" x14ac:dyDescent="0.25">
      <c r="A35" s="5">
        <v>35</v>
      </c>
      <c r="B35" s="44">
        <v>29.1</v>
      </c>
      <c r="C35" s="44">
        <v>27.6</v>
      </c>
      <c r="D35" s="44">
        <v>22.3</v>
      </c>
      <c r="E35" s="44">
        <v>15</v>
      </c>
      <c r="F35" s="44">
        <v>5.9</v>
      </c>
      <c r="G35" s="6">
        <v>0</v>
      </c>
      <c r="I35" s="16"/>
      <c r="J35" s="5"/>
      <c r="K35" s="1"/>
      <c r="P35" s="51"/>
      <c r="Q35" s="51"/>
      <c r="R35" s="51"/>
      <c r="V35" s="51"/>
      <c r="W35" s="51"/>
      <c r="X35" s="51"/>
      <c r="Y35" s="51"/>
      <c r="Z35" s="51"/>
      <c r="AA35" s="1"/>
    </row>
    <row r="36" spans="1:30" s="4" customFormat="1" ht="15.75" customHeight="1" x14ac:dyDescent="0.25">
      <c r="A36" s="5">
        <v>36</v>
      </c>
      <c r="B36" s="29"/>
      <c r="C36" s="29"/>
      <c r="D36" s="30"/>
      <c r="E36" s="31"/>
      <c r="F36" s="32"/>
      <c r="G36" s="6">
        <v>3</v>
      </c>
      <c r="I36" s="16"/>
      <c r="J36" s="5"/>
      <c r="K36" s="1"/>
      <c r="L36" s="22"/>
      <c r="P36" s="51"/>
      <c r="Q36" s="51"/>
      <c r="R36" s="51"/>
      <c r="V36" s="1"/>
      <c r="W36" s="1"/>
      <c r="X36" s="1"/>
      <c r="Y36" s="1"/>
      <c r="Z36" s="1"/>
      <c r="AA36" s="1"/>
    </row>
    <row r="37" spans="1:30" s="4" customFormat="1" ht="15.75" customHeight="1" x14ac:dyDescent="0.25">
      <c r="A37" s="5">
        <v>37</v>
      </c>
      <c r="B37" s="44">
        <v>25.2</v>
      </c>
      <c r="C37" s="44">
        <v>20.7</v>
      </c>
      <c r="D37" s="44">
        <v>27.9</v>
      </c>
      <c r="E37" s="44">
        <v>19.899999999999999</v>
      </c>
      <c r="F37" s="44">
        <v>6.4</v>
      </c>
      <c r="G37" s="6">
        <v>0</v>
      </c>
      <c r="I37" s="16"/>
      <c r="J37" s="5"/>
      <c r="K37" s="1"/>
      <c r="L37" s="19"/>
      <c r="P37" s="51"/>
      <c r="Q37" s="51"/>
      <c r="R37" s="51"/>
      <c r="V37" s="1"/>
      <c r="W37" s="1"/>
      <c r="X37" s="1"/>
      <c r="Y37" s="1"/>
      <c r="Z37" s="1"/>
      <c r="AA37" s="1"/>
    </row>
    <row r="38" spans="1:30" s="4" customFormat="1" ht="15.75" customHeight="1" x14ac:dyDescent="0.25">
      <c r="A38" s="5">
        <v>38</v>
      </c>
      <c r="B38" s="44">
        <v>8.6199999999999992</v>
      </c>
      <c r="C38" s="44">
        <v>10.7</v>
      </c>
      <c r="D38" s="44">
        <v>25.25</v>
      </c>
      <c r="E38" s="44">
        <v>31.85</v>
      </c>
      <c r="F38" s="44">
        <v>23.57</v>
      </c>
      <c r="G38" s="16">
        <v>1</v>
      </c>
      <c r="I38" s="16"/>
      <c r="J38" s="5"/>
      <c r="K38" s="1"/>
      <c r="L38" s="22"/>
      <c r="P38" s="51"/>
      <c r="Q38" s="51"/>
      <c r="R38" s="51"/>
      <c r="V38" s="1"/>
      <c r="W38" s="1"/>
      <c r="X38" s="1"/>
      <c r="Y38" s="1"/>
      <c r="Z38" s="1"/>
      <c r="AA38" s="1"/>
    </row>
    <row r="39" spans="1:30" s="4" customFormat="1" ht="15.75" customHeight="1" x14ac:dyDescent="0.25">
      <c r="A39" s="5">
        <v>39</v>
      </c>
      <c r="B39" s="26"/>
      <c r="C39" s="26"/>
      <c r="D39" s="27"/>
      <c r="E39" s="28"/>
      <c r="F39" s="27"/>
      <c r="G39" s="6">
        <v>3</v>
      </c>
      <c r="I39" s="16"/>
      <c r="J39" s="5"/>
      <c r="K39" s="1"/>
      <c r="L39" s="22"/>
      <c r="V39" s="1"/>
      <c r="W39" s="1"/>
      <c r="X39" s="1"/>
      <c r="Y39" s="1"/>
      <c r="Z39" s="1"/>
      <c r="AA39" s="1"/>
    </row>
    <row r="40" spans="1:30" ht="15.75" customHeight="1" x14ac:dyDescent="0.25">
      <c r="A40" s="5">
        <v>40</v>
      </c>
      <c r="B40" s="44">
        <v>29.1</v>
      </c>
      <c r="C40" s="44">
        <v>27.6</v>
      </c>
      <c r="D40" s="44">
        <v>22.3</v>
      </c>
      <c r="E40" s="44">
        <v>15</v>
      </c>
      <c r="F40" s="44">
        <v>5.9</v>
      </c>
      <c r="G40" s="6">
        <v>0</v>
      </c>
      <c r="I40" s="16"/>
      <c r="J40" s="5"/>
      <c r="L40" s="22"/>
      <c r="M40" s="4"/>
      <c r="N40" s="4"/>
      <c r="O40" s="21"/>
      <c r="P40" s="4"/>
      <c r="Q40" s="4"/>
      <c r="R40" s="4"/>
      <c r="S40" s="4"/>
      <c r="T40" s="4"/>
      <c r="U40" s="21"/>
      <c r="W40" s="4"/>
      <c r="X40" s="4"/>
      <c r="Y40" s="4"/>
      <c r="Z40" s="4"/>
      <c r="AA40" s="23"/>
      <c r="AB40" s="4"/>
      <c r="AC40" s="4"/>
      <c r="AD40" s="4"/>
    </row>
    <row r="41" spans="1:30" ht="15.75" customHeight="1" x14ac:dyDescent="0.25">
      <c r="A41" s="5">
        <v>41</v>
      </c>
      <c r="B41" s="5"/>
      <c r="C41" s="5"/>
      <c r="D41" s="5"/>
      <c r="E41" s="5"/>
      <c r="F41" s="5"/>
      <c r="G41" s="6">
        <v>3</v>
      </c>
      <c r="I41" s="16"/>
      <c r="J41" s="5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</row>
    <row r="42" spans="1:30" ht="15.75" customHeight="1" x14ac:dyDescent="0.25">
      <c r="A42" s="5">
        <v>42</v>
      </c>
      <c r="B42" s="5"/>
      <c r="C42" s="5"/>
      <c r="D42" s="5"/>
      <c r="E42" s="5"/>
      <c r="F42" s="5"/>
      <c r="G42" s="6">
        <v>3</v>
      </c>
      <c r="I42" s="16"/>
      <c r="J42" s="5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</row>
    <row r="43" spans="1:30" s="4" customFormat="1" ht="15.75" customHeight="1" x14ac:dyDescent="0.25">
      <c r="A43" s="5">
        <v>43</v>
      </c>
      <c r="B43" s="44">
        <v>26.6</v>
      </c>
      <c r="C43" s="44">
        <v>34.5</v>
      </c>
      <c r="D43" s="44">
        <v>27.5</v>
      </c>
      <c r="E43" s="44">
        <v>23.2</v>
      </c>
      <c r="F43" s="44">
        <v>9.1</v>
      </c>
      <c r="G43" s="6">
        <v>0</v>
      </c>
      <c r="I43" s="16"/>
      <c r="J43" s="5"/>
      <c r="K43" s="1"/>
    </row>
    <row r="44" spans="1:30" s="4" customFormat="1" ht="15.75" customHeight="1" x14ac:dyDescent="0.25">
      <c r="A44" s="5">
        <v>44</v>
      </c>
      <c r="B44" s="6"/>
      <c r="C44" s="6"/>
      <c r="D44" s="6"/>
      <c r="E44" s="6"/>
      <c r="F44" s="6"/>
      <c r="G44" s="6">
        <v>0</v>
      </c>
      <c r="I44" s="16"/>
      <c r="J44" s="5"/>
      <c r="K44" s="1"/>
      <c r="T44" s="14"/>
      <c r="AB44" s="16"/>
    </row>
    <row r="45" spans="1:30" s="4" customFormat="1" ht="15.75" customHeight="1" x14ac:dyDescent="0.25">
      <c r="A45" s="5">
        <v>45</v>
      </c>
      <c r="B45" s="5"/>
      <c r="C45" s="5"/>
      <c r="D45" s="5"/>
      <c r="E45" s="5"/>
      <c r="F45" s="5"/>
      <c r="G45" s="6">
        <v>2</v>
      </c>
      <c r="I45" s="16"/>
      <c r="J45" s="5"/>
      <c r="K45" s="1"/>
      <c r="T45" s="14"/>
      <c r="U45" s="7"/>
      <c r="AB45" s="16"/>
    </row>
    <row r="46" spans="1:30" s="4" customFormat="1" ht="15.75" customHeight="1" x14ac:dyDescent="0.25">
      <c r="A46" s="5">
        <v>46</v>
      </c>
      <c r="B46" s="44">
        <v>19.100000000000001</v>
      </c>
      <c r="C46" s="44">
        <v>27.55</v>
      </c>
      <c r="D46" s="44">
        <v>23.38</v>
      </c>
      <c r="E46" s="44">
        <v>16.93</v>
      </c>
      <c r="F46" s="44">
        <v>12.14</v>
      </c>
      <c r="G46" s="6">
        <v>2</v>
      </c>
      <c r="I46" s="16"/>
      <c r="J46" s="5"/>
      <c r="K46" s="1"/>
      <c r="U46" s="3"/>
      <c r="V46" s="3"/>
      <c r="AB46" s="41"/>
    </row>
    <row r="47" spans="1:30" s="4" customFormat="1" ht="15.75" customHeight="1" x14ac:dyDescent="0.25">
      <c r="A47" s="5">
        <v>47</v>
      </c>
      <c r="B47" s="44">
        <v>28.7</v>
      </c>
      <c r="C47" s="44">
        <v>21.7</v>
      </c>
      <c r="D47" s="44">
        <v>22.6</v>
      </c>
      <c r="E47" s="44">
        <v>17</v>
      </c>
      <c r="F47" s="44">
        <v>9.9</v>
      </c>
      <c r="G47" s="6">
        <v>0</v>
      </c>
      <c r="I47" s="16"/>
      <c r="J47" s="5"/>
      <c r="K47" s="1"/>
      <c r="U47" s="5"/>
      <c r="V47" s="5"/>
      <c r="W47" s="51"/>
      <c r="X47" s="51"/>
      <c r="Y47" s="51"/>
      <c r="Z47" s="51"/>
      <c r="AA47" s="51"/>
      <c r="AB47" s="16"/>
    </row>
    <row r="48" spans="1:30" ht="15.75" customHeight="1" x14ac:dyDescent="0.25">
      <c r="A48" s="5">
        <v>48</v>
      </c>
      <c r="B48" s="5"/>
      <c r="C48" s="5"/>
      <c r="D48" s="5"/>
      <c r="E48" s="5"/>
      <c r="F48" s="5"/>
      <c r="G48" s="6">
        <v>2</v>
      </c>
      <c r="I48" s="16"/>
      <c r="J48" s="5"/>
      <c r="L48" s="4"/>
      <c r="M48" s="4"/>
      <c r="N48" s="4"/>
      <c r="O48" s="4"/>
      <c r="P48" s="4"/>
      <c r="Q48" s="4"/>
      <c r="R48" s="4"/>
      <c r="S48" s="4"/>
      <c r="T48" s="4"/>
      <c r="U48" s="5"/>
      <c r="V48" s="5"/>
      <c r="W48" s="51"/>
      <c r="X48" s="51"/>
      <c r="Y48" s="51"/>
      <c r="Z48" s="51"/>
      <c r="AA48" s="51"/>
      <c r="AB48" s="16"/>
      <c r="AC48" s="4"/>
      <c r="AD48" s="4"/>
    </row>
    <row r="49" spans="1:30" ht="15.75" customHeight="1" x14ac:dyDescent="0.25">
      <c r="A49" s="5">
        <v>49</v>
      </c>
      <c r="B49" s="44">
        <v>29.79</v>
      </c>
      <c r="C49" s="44">
        <v>19.649999999999999</v>
      </c>
      <c r="D49" s="44">
        <v>23.91</v>
      </c>
      <c r="E49" s="44">
        <v>15.27</v>
      </c>
      <c r="F49" s="44">
        <v>11.38</v>
      </c>
      <c r="G49" s="6">
        <v>2</v>
      </c>
      <c r="I49" s="16"/>
      <c r="J49" s="5"/>
      <c r="L49" s="4"/>
      <c r="M49" s="4"/>
      <c r="N49" s="4"/>
      <c r="O49" s="4"/>
      <c r="P49" s="4"/>
      <c r="Q49" s="4"/>
      <c r="R49" s="4"/>
      <c r="S49" s="4"/>
      <c r="T49" s="4"/>
      <c r="U49" s="5"/>
      <c r="V49" s="5"/>
      <c r="W49" s="51"/>
      <c r="X49" s="51"/>
      <c r="Y49" s="51"/>
      <c r="Z49" s="51"/>
      <c r="AA49" s="51"/>
      <c r="AB49" s="16"/>
      <c r="AC49" s="4"/>
      <c r="AD49" s="4"/>
    </row>
    <row r="50" spans="1:30" ht="15.75" customHeight="1" x14ac:dyDescent="0.25">
      <c r="A50" s="5">
        <v>50</v>
      </c>
      <c r="B50" s="44">
        <v>9.61</v>
      </c>
      <c r="C50" s="44">
        <v>13.01</v>
      </c>
      <c r="D50" s="44">
        <v>21.29</v>
      </c>
      <c r="E50" s="44">
        <v>28.82</v>
      </c>
      <c r="F50" s="44">
        <v>27.28</v>
      </c>
      <c r="G50" s="16">
        <v>1</v>
      </c>
      <c r="I50" s="16"/>
      <c r="J50" s="5"/>
      <c r="L50" s="4"/>
      <c r="M50" s="4"/>
      <c r="N50" s="4"/>
      <c r="O50" s="4"/>
      <c r="P50" s="4"/>
      <c r="Q50" s="4"/>
      <c r="R50" s="4"/>
      <c r="S50" s="4"/>
      <c r="T50" s="4"/>
      <c r="U50" s="5"/>
      <c r="V50" s="5"/>
      <c r="W50" s="51"/>
      <c r="X50" s="51"/>
      <c r="Y50" s="51"/>
      <c r="Z50" s="51"/>
      <c r="AA50" s="51"/>
      <c r="AB50" s="16"/>
      <c r="AC50" s="4"/>
      <c r="AD50" s="4"/>
    </row>
    <row r="51" spans="1:30" ht="15.75" customHeight="1" x14ac:dyDescent="0.25">
      <c r="A51" s="5">
        <v>51</v>
      </c>
      <c r="B51" s="44">
        <v>24.76</v>
      </c>
      <c r="C51" s="44">
        <v>33.53</v>
      </c>
      <c r="D51" s="44">
        <v>19.59</v>
      </c>
      <c r="E51" s="44">
        <v>13.46</v>
      </c>
      <c r="F51" s="44">
        <v>8.67</v>
      </c>
      <c r="G51" s="6">
        <v>2</v>
      </c>
      <c r="I51" s="16"/>
      <c r="J51" s="5"/>
      <c r="L51" s="22"/>
      <c r="M51" s="4"/>
      <c r="N51" s="4"/>
      <c r="O51" s="4"/>
      <c r="P51" s="4"/>
      <c r="Q51" s="4"/>
      <c r="R51" s="4"/>
      <c r="S51" s="4"/>
      <c r="T51" s="4"/>
      <c r="U51" s="5"/>
      <c r="V51" s="5"/>
      <c r="W51" s="51"/>
      <c r="X51" s="51"/>
      <c r="Y51" s="51"/>
      <c r="Z51" s="51"/>
      <c r="AA51" s="51"/>
      <c r="AB51" s="16"/>
      <c r="AC51" s="4"/>
      <c r="AD51" s="4"/>
    </row>
    <row r="52" spans="1:30" ht="15.75" customHeight="1" x14ac:dyDescent="0.25">
      <c r="A52" s="5">
        <v>52</v>
      </c>
      <c r="B52" s="50">
        <v>27</v>
      </c>
      <c r="C52" s="44">
        <v>27.2</v>
      </c>
      <c r="D52" s="44">
        <v>20.2</v>
      </c>
      <c r="E52" s="44">
        <v>17.600000000000001</v>
      </c>
      <c r="F52" s="44">
        <v>7.7</v>
      </c>
      <c r="G52" s="6">
        <v>0</v>
      </c>
      <c r="I52" s="16"/>
      <c r="J52" s="5"/>
      <c r="L52" s="22"/>
      <c r="T52" s="4"/>
      <c r="U52" s="5"/>
      <c r="V52" s="5"/>
      <c r="W52" s="51"/>
      <c r="X52" s="51"/>
      <c r="Y52" s="51"/>
      <c r="Z52" s="51"/>
      <c r="AA52" s="51"/>
      <c r="AB52" s="16"/>
    </row>
    <row r="53" spans="1:30" ht="15.75" customHeight="1" x14ac:dyDescent="0.25">
      <c r="A53" s="5">
        <v>53</v>
      </c>
      <c r="B53" s="6"/>
      <c r="C53" s="6"/>
      <c r="D53" s="6"/>
      <c r="E53" s="6"/>
      <c r="F53" s="6"/>
      <c r="G53" s="6">
        <v>0</v>
      </c>
      <c r="I53" s="16"/>
      <c r="J53" s="5"/>
      <c r="L53" s="19"/>
      <c r="U53" s="5"/>
      <c r="V53" s="5"/>
      <c r="W53" s="51"/>
      <c r="X53" s="51"/>
      <c r="Y53" s="51"/>
      <c r="Z53" s="51"/>
      <c r="AA53" s="51"/>
      <c r="AB53" s="16"/>
    </row>
    <row r="54" spans="1:30" ht="15.75" customHeight="1" x14ac:dyDescent="0.25">
      <c r="A54" s="5">
        <v>54</v>
      </c>
      <c r="B54" s="44">
        <v>21.6</v>
      </c>
      <c r="C54" s="44">
        <v>22.31</v>
      </c>
      <c r="D54" s="44">
        <v>26.3</v>
      </c>
      <c r="E54" s="44">
        <v>18.14</v>
      </c>
      <c r="F54" s="44">
        <v>11.65</v>
      </c>
      <c r="G54" s="6">
        <v>2</v>
      </c>
      <c r="I54" s="16"/>
      <c r="J54" s="5"/>
      <c r="L54" s="19"/>
      <c r="U54" s="4"/>
      <c r="V54" s="4"/>
      <c r="W54" s="22"/>
      <c r="X54" s="23"/>
      <c r="Y54" s="22"/>
      <c r="Z54" s="23"/>
      <c r="AA54" s="23"/>
      <c r="AB54" s="16"/>
    </row>
    <row r="55" spans="1:30" ht="15.75" customHeight="1" x14ac:dyDescent="0.25">
      <c r="A55" s="5">
        <v>55</v>
      </c>
      <c r="B55" s="44">
        <v>8.82</v>
      </c>
      <c r="C55" s="44">
        <v>16.260000000000002</v>
      </c>
      <c r="D55" s="44">
        <v>23.51</v>
      </c>
      <c r="E55" s="44">
        <v>22.49</v>
      </c>
      <c r="F55" s="44">
        <v>28.92</v>
      </c>
      <c r="G55" s="16">
        <v>1</v>
      </c>
      <c r="I55" s="16"/>
      <c r="J55" s="5"/>
      <c r="L55" s="19"/>
      <c r="M55" s="4"/>
      <c r="N55" s="4"/>
      <c r="O55" s="4"/>
      <c r="P55" s="4"/>
      <c r="Q55" s="4"/>
      <c r="R55" s="4"/>
      <c r="S55" s="4"/>
      <c r="V55" s="4"/>
      <c r="W55" s="22"/>
      <c r="X55" s="23"/>
      <c r="Y55" s="22"/>
      <c r="Z55" s="23"/>
      <c r="AA55" s="23"/>
      <c r="AB55" s="16"/>
      <c r="AC55" s="3"/>
      <c r="AD55" s="42"/>
    </row>
    <row r="56" spans="1:30" ht="15.75" customHeight="1" x14ac:dyDescent="0.25">
      <c r="A56" s="5">
        <v>56</v>
      </c>
      <c r="B56" s="44">
        <v>19.59</v>
      </c>
      <c r="C56" s="44">
        <v>25.78</v>
      </c>
      <c r="D56" s="44">
        <v>28.62</v>
      </c>
      <c r="E56" s="44">
        <v>16.149999999999999</v>
      </c>
      <c r="F56" s="44">
        <v>9.86</v>
      </c>
      <c r="G56" s="6">
        <v>2</v>
      </c>
      <c r="I56" s="16"/>
      <c r="J56" s="5"/>
      <c r="L56" s="19"/>
      <c r="M56" s="4"/>
      <c r="N56" s="4"/>
      <c r="O56" s="4"/>
      <c r="P56" s="4"/>
      <c r="Q56" s="4"/>
      <c r="R56" s="4"/>
      <c r="T56" s="14"/>
      <c r="U56" s="7"/>
      <c r="V56" s="4"/>
      <c r="W56" s="33"/>
      <c r="X56" s="17"/>
      <c r="Y56" s="19"/>
      <c r="Z56" s="17"/>
      <c r="AA56" s="17"/>
      <c r="AB56" s="16"/>
      <c r="AC56" s="4"/>
      <c r="AD56" s="4"/>
    </row>
    <row r="57" spans="1:30" ht="15.75" customHeight="1" x14ac:dyDescent="0.25">
      <c r="A57" s="5">
        <v>57</v>
      </c>
      <c r="B57" s="5"/>
      <c r="C57" s="5"/>
      <c r="D57" s="5"/>
      <c r="E57" s="5"/>
      <c r="F57" s="5"/>
      <c r="G57" s="6">
        <v>2</v>
      </c>
      <c r="I57" s="16"/>
      <c r="J57" s="5"/>
      <c r="L57" s="19"/>
      <c r="M57" s="4"/>
      <c r="N57" s="4"/>
      <c r="O57" s="4"/>
      <c r="P57" s="4"/>
      <c r="Q57" s="4"/>
      <c r="R57" s="4"/>
      <c r="T57" s="14"/>
      <c r="U57" s="3"/>
      <c r="V57" s="3"/>
      <c r="W57" s="4"/>
      <c r="X57" s="4"/>
      <c r="Y57" s="4"/>
      <c r="Z57" s="4"/>
      <c r="AA57" s="4"/>
      <c r="AB57" s="41"/>
      <c r="AC57" s="4"/>
      <c r="AD57" s="4"/>
    </row>
    <row r="58" spans="1:30" ht="15.75" customHeight="1" x14ac:dyDescent="0.25">
      <c r="A58" s="5">
        <v>58</v>
      </c>
      <c r="B58" s="53"/>
      <c r="C58" s="53"/>
      <c r="D58" s="55"/>
      <c r="E58" s="39"/>
      <c r="F58" s="55"/>
      <c r="G58" s="6">
        <v>3</v>
      </c>
      <c r="I58" s="16"/>
      <c r="J58" s="5"/>
      <c r="L58" s="22"/>
      <c r="M58" s="4"/>
      <c r="N58" s="4"/>
      <c r="O58" s="4"/>
      <c r="P58" s="4"/>
      <c r="Q58" s="4"/>
      <c r="R58" s="4"/>
      <c r="T58" s="4"/>
      <c r="U58" s="5"/>
      <c r="V58" s="5"/>
      <c r="W58" s="4"/>
      <c r="X58" s="4"/>
      <c r="Y58" s="4"/>
      <c r="Z58" s="4"/>
      <c r="AA58" s="4"/>
      <c r="AC58" s="4"/>
      <c r="AD58" s="4"/>
    </row>
    <row r="59" spans="1:30" ht="15.75" customHeight="1" x14ac:dyDescent="0.25">
      <c r="A59" s="5">
        <v>59</v>
      </c>
      <c r="B59" s="44">
        <v>26.6</v>
      </c>
      <c r="C59" s="44">
        <v>27.5</v>
      </c>
      <c r="D59" s="44">
        <v>19.600000000000001</v>
      </c>
      <c r="E59" s="44">
        <v>19.100000000000001</v>
      </c>
      <c r="F59" s="44">
        <v>7.2</v>
      </c>
      <c r="G59" s="6">
        <v>0</v>
      </c>
      <c r="I59" s="16"/>
      <c r="J59" s="5"/>
      <c r="L59" s="19"/>
      <c r="M59" s="4"/>
      <c r="N59" s="4"/>
      <c r="O59" s="4"/>
      <c r="P59" s="4"/>
      <c r="Q59" s="4"/>
      <c r="R59" s="4"/>
      <c r="T59" s="4"/>
      <c r="U59" s="5"/>
      <c r="V59" s="5"/>
      <c r="W59" s="56"/>
      <c r="X59" s="56"/>
      <c r="Y59" s="56"/>
      <c r="Z59" s="56"/>
      <c r="AA59" s="56"/>
      <c r="AC59" s="4"/>
      <c r="AD59" s="4"/>
    </row>
    <row r="60" spans="1:30" ht="15.75" customHeight="1" x14ac:dyDescent="0.25">
      <c r="A60" s="5">
        <v>60</v>
      </c>
      <c r="B60" s="49">
        <v>23</v>
      </c>
      <c r="C60" s="49">
        <v>23</v>
      </c>
      <c r="D60" s="49">
        <v>23</v>
      </c>
      <c r="E60" s="45">
        <v>19.04</v>
      </c>
      <c r="F60" s="45">
        <v>14.28</v>
      </c>
      <c r="G60" s="6">
        <v>2</v>
      </c>
      <c r="I60" s="16"/>
      <c r="J60" s="5"/>
      <c r="L60" s="19"/>
      <c r="T60" s="4"/>
      <c r="U60" s="5"/>
      <c r="V60" s="5"/>
      <c r="W60" s="56"/>
      <c r="X60" s="56"/>
      <c r="Y60" s="56"/>
      <c r="Z60" s="57"/>
      <c r="AA60" s="57"/>
      <c r="AC60" s="4"/>
      <c r="AD60" s="4"/>
    </row>
    <row r="61" spans="1:30" ht="15.75" customHeight="1" x14ac:dyDescent="0.25">
      <c r="A61" s="5">
        <v>61</v>
      </c>
      <c r="B61" s="6"/>
      <c r="C61" s="6"/>
      <c r="D61" s="6"/>
      <c r="E61" s="6"/>
      <c r="F61" s="6"/>
      <c r="G61" s="6">
        <v>0</v>
      </c>
      <c r="I61" s="16"/>
      <c r="J61" s="5"/>
      <c r="U61" s="5"/>
      <c r="V61" s="5"/>
      <c r="W61" s="57"/>
      <c r="X61" s="57"/>
      <c r="Y61" s="57"/>
      <c r="Z61" s="57"/>
      <c r="AA61" s="57"/>
    </row>
    <row r="62" spans="1:30" ht="15.75" customHeight="1" x14ac:dyDescent="0.25">
      <c r="A62" s="5">
        <v>62</v>
      </c>
      <c r="B62" s="44">
        <v>7.5</v>
      </c>
      <c r="C62" s="44">
        <v>16.73</v>
      </c>
      <c r="D62" s="44">
        <v>21.1</v>
      </c>
      <c r="E62" s="44">
        <v>32.85</v>
      </c>
      <c r="F62" s="44">
        <v>20.92</v>
      </c>
      <c r="G62" s="16">
        <v>1</v>
      </c>
      <c r="I62" s="16"/>
      <c r="J62" s="5"/>
      <c r="U62" s="5"/>
      <c r="V62" s="5"/>
      <c r="W62" s="51"/>
      <c r="X62" s="51"/>
      <c r="Y62" s="51"/>
      <c r="Z62" s="51"/>
      <c r="AA62" s="51"/>
    </row>
    <row r="63" spans="1:30" ht="15.75" customHeight="1" x14ac:dyDescent="0.25">
      <c r="A63" s="5">
        <v>63</v>
      </c>
      <c r="B63" s="44">
        <v>10.69</v>
      </c>
      <c r="C63" s="44">
        <v>14.06</v>
      </c>
      <c r="D63" s="44">
        <v>22.88</v>
      </c>
      <c r="E63" s="44">
        <v>32.1</v>
      </c>
      <c r="F63" s="44">
        <v>20.27</v>
      </c>
      <c r="G63" s="16">
        <v>1</v>
      </c>
      <c r="I63" s="16"/>
      <c r="J63" s="5"/>
      <c r="U63" s="5"/>
      <c r="V63" s="5"/>
      <c r="W63" s="51"/>
      <c r="X63" s="51"/>
      <c r="Y63" s="51"/>
      <c r="Z63" s="51"/>
      <c r="AA63" s="51"/>
    </row>
    <row r="64" spans="1:30" ht="15.75" customHeight="1" x14ac:dyDescent="0.25">
      <c r="A64" s="5">
        <v>64</v>
      </c>
      <c r="B64" s="44">
        <v>35.21</v>
      </c>
      <c r="C64" s="44">
        <v>21.2</v>
      </c>
      <c r="D64" s="44">
        <v>22.38</v>
      </c>
      <c r="E64" s="44">
        <v>28.99</v>
      </c>
      <c r="F64" s="44">
        <v>8.6199999999999992</v>
      </c>
      <c r="G64" s="6">
        <v>2</v>
      </c>
      <c r="I64" s="16"/>
      <c r="J64" s="5"/>
      <c r="U64" s="5"/>
      <c r="V64" s="5"/>
      <c r="W64" s="51"/>
      <c r="X64" s="51"/>
      <c r="Y64" s="51"/>
      <c r="Z64" s="51"/>
      <c r="AA64" s="51"/>
    </row>
    <row r="65" spans="1:27" ht="15.75" customHeight="1" x14ac:dyDescent="0.25">
      <c r="A65"/>
      <c r="I65" s="16"/>
      <c r="J65" s="5"/>
      <c r="U65" s="5"/>
      <c r="V65" s="5"/>
      <c r="W65" s="51"/>
      <c r="X65" s="51"/>
      <c r="Y65" s="51"/>
      <c r="Z65" s="51"/>
      <c r="AA65" s="51"/>
    </row>
    <row r="66" spans="1:27" ht="15.75" customHeight="1" x14ac:dyDescent="0.25">
      <c r="B66" s="5"/>
      <c r="C66" s="5"/>
      <c r="D66" s="51"/>
      <c r="E66" s="51"/>
      <c r="F66" s="51"/>
      <c r="G66" s="51"/>
      <c r="H66" s="51"/>
      <c r="I66" s="16"/>
      <c r="J66" s="5"/>
      <c r="U66" s="5"/>
      <c r="V66" s="5"/>
      <c r="W66" s="51"/>
      <c r="X66" s="51"/>
      <c r="Y66" s="51"/>
      <c r="Z66" s="51"/>
      <c r="AA66" s="51"/>
    </row>
    <row r="67" spans="1:27" ht="15.75" customHeight="1" x14ac:dyDescent="0.25">
      <c r="B67" s="5"/>
      <c r="C67" s="5"/>
      <c r="D67" s="51"/>
      <c r="E67" s="51"/>
      <c r="F67" s="51"/>
      <c r="G67" s="51"/>
      <c r="H67" s="51"/>
      <c r="I67" s="16"/>
      <c r="U67" s="5"/>
      <c r="V67" s="5"/>
      <c r="W67" s="51"/>
      <c r="X67" s="51"/>
      <c r="Y67" s="51"/>
      <c r="Z67" s="51"/>
      <c r="AA67" s="51"/>
    </row>
    <row r="68" spans="1:27" ht="15.75" customHeight="1" x14ac:dyDescent="0.25">
      <c r="B68" s="5"/>
      <c r="C68" s="5"/>
      <c r="D68" s="51"/>
      <c r="E68" s="51"/>
      <c r="F68" s="51"/>
      <c r="G68" s="51"/>
      <c r="H68" s="51"/>
      <c r="I68" s="16"/>
      <c r="U68" s="5"/>
      <c r="V68" s="5"/>
      <c r="W68" s="51"/>
      <c r="X68" s="51"/>
      <c r="Y68" s="51"/>
      <c r="Z68" s="51"/>
      <c r="AA68" s="51"/>
    </row>
    <row r="69" spans="1:27" ht="15.75" customHeight="1" x14ac:dyDescent="0.25">
      <c r="B69" s="5"/>
      <c r="C69" s="5"/>
      <c r="D69" s="51"/>
      <c r="E69" s="51"/>
      <c r="F69" s="51"/>
      <c r="G69" s="51"/>
      <c r="H69" s="51"/>
      <c r="I69" s="16"/>
      <c r="U69" s="5"/>
      <c r="V69" s="5"/>
      <c r="W69" s="51"/>
      <c r="X69" s="51"/>
      <c r="Y69" s="51"/>
      <c r="Z69" s="51"/>
      <c r="AA69" s="51"/>
    </row>
    <row r="70" spans="1:27" ht="15.75" customHeight="1" x14ac:dyDescent="0.25">
      <c r="B70" s="5"/>
      <c r="C70" s="5"/>
      <c r="D70" s="51"/>
      <c r="E70" s="51"/>
      <c r="F70" s="51"/>
      <c r="G70" s="51"/>
      <c r="H70" s="51"/>
      <c r="I70" s="16"/>
      <c r="U70" s="5"/>
      <c r="V70" s="5"/>
      <c r="W70" s="51"/>
      <c r="X70" s="51"/>
      <c r="Y70" s="51"/>
      <c r="Z70" s="51"/>
      <c r="AA70" s="51"/>
    </row>
    <row r="71" spans="1:27" ht="15.75" customHeight="1" x14ac:dyDescent="0.25">
      <c r="B71" s="5"/>
      <c r="C71" s="5"/>
      <c r="D71" s="51"/>
      <c r="E71" s="51"/>
      <c r="F71" s="51"/>
      <c r="G71" s="51"/>
      <c r="H71" s="51"/>
      <c r="I71" s="16"/>
      <c r="U71" s="5"/>
      <c r="V71" s="5"/>
      <c r="W71" s="51"/>
      <c r="X71" s="51"/>
      <c r="Y71" s="51"/>
      <c r="Z71" s="51"/>
      <c r="AA71" s="51"/>
    </row>
    <row r="72" spans="1:27" ht="15.75" customHeight="1" x14ac:dyDescent="0.25">
      <c r="B72" s="5"/>
      <c r="C72" s="5"/>
      <c r="D72" s="51"/>
      <c r="E72" s="51"/>
      <c r="F72" s="51"/>
      <c r="G72" s="51"/>
      <c r="H72" s="51"/>
      <c r="I72" s="16"/>
      <c r="U72" s="5"/>
      <c r="V72" s="5"/>
      <c r="W72" s="51"/>
      <c r="X72" s="51"/>
      <c r="Y72" s="51"/>
      <c r="Z72" s="51"/>
      <c r="AA72" s="51"/>
    </row>
    <row r="73" spans="1:27" ht="15.75" customHeight="1" x14ac:dyDescent="0.25">
      <c r="B73" s="5"/>
      <c r="C73" s="5"/>
      <c r="D73" s="51"/>
      <c r="E73" s="51"/>
      <c r="F73" s="51"/>
      <c r="G73" s="51"/>
      <c r="H73" s="51"/>
      <c r="I73" s="16"/>
      <c r="U73" s="5"/>
      <c r="V73" s="5"/>
      <c r="W73" s="51"/>
      <c r="X73" s="51"/>
      <c r="Y73" s="51"/>
      <c r="Z73" s="51"/>
      <c r="AA73" s="51"/>
    </row>
    <row r="74" spans="1:27" ht="15.75" customHeight="1" x14ac:dyDescent="0.25">
      <c r="B74" s="5"/>
      <c r="C74" s="5"/>
      <c r="D74" s="51"/>
      <c r="E74" s="51"/>
      <c r="F74" s="51"/>
      <c r="G74" s="51"/>
      <c r="H74" s="51"/>
      <c r="I74" s="16"/>
      <c r="U74" s="5"/>
      <c r="V74" s="5"/>
      <c r="W74" s="51"/>
      <c r="X74" s="51"/>
      <c r="Y74" s="51"/>
      <c r="Z74" s="51"/>
      <c r="AA74" s="51"/>
    </row>
    <row r="75" spans="1:27" ht="15.75" customHeight="1" x14ac:dyDescent="0.25">
      <c r="B75" s="5"/>
      <c r="C75" s="5"/>
      <c r="D75" s="51"/>
      <c r="E75" s="51"/>
      <c r="F75" s="51"/>
      <c r="G75" s="51"/>
      <c r="H75" s="51"/>
      <c r="I75" s="16"/>
      <c r="U75" s="5"/>
      <c r="V75" s="5"/>
      <c r="W75" s="51"/>
      <c r="X75" s="51"/>
      <c r="Y75" s="51"/>
      <c r="Z75" s="51"/>
      <c r="AA75" s="51"/>
    </row>
    <row r="76" spans="1:27" ht="15.75" customHeight="1" x14ac:dyDescent="0.25">
      <c r="B76" s="5"/>
      <c r="C76" s="5"/>
      <c r="D76" s="51"/>
      <c r="E76" s="51"/>
      <c r="F76" s="51"/>
      <c r="G76" s="51"/>
      <c r="H76" s="51"/>
      <c r="I76" s="16"/>
      <c r="U76" s="5"/>
      <c r="V76" s="5"/>
      <c r="W76" s="51"/>
      <c r="X76" s="51"/>
      <c r="Y76" s="51"/>
      <c r="Z76" s="51"/>
      <c r="AA76" s="51"/>
    </row>
    <row r="77" spans="1:27" ht="15.75" customHeight="1" x14ac:dyDescent="0.25">
      <c r="B77" s="5"/>
      <c r="C77" s="5"/>
      <c r="D77" s="51"/>
      <c r="E77" s="51"/>
      <c r="F77" s="51"/>
      <c r="G77" s="51"/>
      <c r="H77" s="51"/>
      <c r="I77" s="16"/>
      <c r="U77" s="5"/>
      <c r="V77" s="5"/>
      <c r="W77" s="51"/>
      <c r="X77" s="51"/>
      <c r="Y77" s="51"/>
      <c r="Z77" s="51"/>
      <c r="AA77" s="51"/>
    </row>
    <row r="78" spans="1:27" ht="15.75" customHeight="1" x14ac:dyDescent="0.25">
      <c r="B78" s="5"/>
      <c r="C78" s="5"/>
      <c r="D78" s="51"/>
      <c r="E78" s="51"/>
      <c r="F78" s="51"/>
      <c r="G78" s="51"/>
      <c r="H78" s="51"/>
      <c r="U78" s="5"/>
      <c r="V78" s="5"/>
      <c r="W78" s="51"/>
      <c r="X78" s="51"/>
      <c r="Y78" s="51"/>
      <c r="Z78" s="51"/>
      <c r="AA78" s="51"/>
    </row>
    <row r="79" spans="1:27" ht="15.75" customHeight="1" x14ac:dyDescent="0.25">
      <c r="B79" s="5"/>
      <c r="C79" s="5"/>
      <c r="D79" s="9"/>
      <c r="E79" s="9"/>
      <c r="F79" s="9"/>
      <c r="G79" s="9"/>
      <c r="H79" s="9"/>
      <c r="U79" s="5"/>
      <c r="V79" s="5"/>
      <c r="W79" s="51"/>
      <c r="X79" s="51"/>
      <c r="Y79" s="51"/>
      <c r="Z79" s="51"/>
      <c r="AA79" s="51"/>
    </row>
    <row r="80" spans="1:27" ht="15.75" customHeight="1" x14ac:dyDescent="0.25">
      <c r="B80" s="5"/>
      <c r="C80" s="5"/>
      <c r="D80" s="9"/>
      <c r="E80" s="9"/>
      <c r="F80" s="9"/>
      <c r="G80" s="9"/>
      <c r="H80" s="9"/>
      <c r="U80" s="5"/>
      <c r="V80" s="5"/>
      <c r="W80" s="9"/>
      <c r="X80" s="9"/>
      <c r="Y80" s="9"/>
      <c r="Z80" s="9"/>
      <c r="AA80" s="9"/>
    </row>
    <row r="81" spans="2:27" ht="15.75" customHeight="1" x14ac:dyDescent="0.25">
      <c r="B81" s="5"/>
      <c r="C81" s="5"/>
      <c r="D81" s="9"/>
      <c r="E81" s="9"/>
      <c r="F81" s="9"/>
      <c r="G81" s="9"/>
      <c r="H81" s="9"/>
      <c r="P81" s="42"/>
      <c r="Q81" s="21"/>
      <c r="R81" s="21"/>
      <c r="U81" s="5"/>
      <c r="V81" s="5"/>
      <c r="W81" s="9"/>
      <c r="X81" s="9"/>
      <c r="Y81" s="9"/>
      <c r="Z81" s="9"/>
      <c r="AA81" s="9"/>
    </row>
    <row r="82" spans="2:27" ht="15.75" customHeight="1" x14ac:dyDescent="0.25">
      <c r="P82" s="58"/>
      <c r="Q82" s="21"/>
      <c r="R82" s="21"/>
      <c r="U82" s="5"/>
      <c r="V82" s="5"/>
      <c r="W82" s="9"/>
      <c r="X82" s="9"/>
      <c r="Y82" s="9"/>
      <c r="Z82" s="9"/>
      <c r="AA82" s="9"/>
    </row>
    <row r="83" spans="2:27" ht="15.75" customHeight="1" x14ac:dyDescent="0.25">
      <c r="P83" s="4"/>
      <c r="Q83" s="21"/>
      <c r="R83" s="21"/>
    </row>
    <row r="84" spans="2:27" ht="15.75" customHeight="1" x14ac:dyDescent="0.25">
      <c r="P84" s="42"/>
      <c r="Q84" s="21"/>
      <c r="R84" s="21"/>
    </row>
    <row r="85" spans="2:27" ht="15.75" customHeight="1" x14ac:dyDescent="0.25"/>
    <row r="86" spans="2:27" ht="15.75" customHeight="1" x14ac:dyDescent="0.25">
      <c r="Q86" s="42"/>
      <c r="R86" s="59"/>
      <c r="S86" s="60"/>
      <c r="T86" s="43"/>
      <c r="U86" s="42"/>
    </row>
    <row r="87" spans="2:27" ht="15.75" customHeight="1" x14ac:dyDescent="0.25">
      <c r="P87" s="4"/>
      <c r="Q87" s="25"/>
      <c r="R87" s="21"/>
      <c r="S87" s="21"/>
      <c r="T87" s="21"/>
      <c r="U87" s="21"/>
    </row>
    <row r="88" spans="2:27" ht="15.75" customHeight="1" x14ac:dyDescent="0.25">
      <c r="P88" s="4"/>
      <c r="Q88" s="21"/>
      <c r="R88" s="21"/>
      <c r="S88" s="21"/>
      <c r="T88" s="21"/>
      <c r="U88" s="21"/>
    </row>
    <row r="89" spans="2:27" ht="15.75" customHeight="1" x14ac:dyDescent="0.25"/>
    <row r="90" spans="2:27" ht="15.75" customHeight="1" x14ac:dyDescent="0.25">
      <c r="C90" s="4"/>
    </row>
    <row r="91" spans="2:27" ht="15.75" customHeight="1" x14ac:dyDescent="0.25">
      <c r="B91" s="4"/>
      <c r="C91" s="19"/>
    </row>
    <row r="92" spans="2:27" ht="15.75" customHeight="1" x14ac:dyDescent="0.25">
      <c r="B92" s="4"/>
      <c r="C92" s="19"/>
    </row>
    <row r="93" spans="2:27" ht="15.75" customHeight="1" x14ac:dyDescent="0.25"/>
    <row r="94" spans="2:27" ht="15.75" customHeight="1" x14ac:dyDescent="0.25"/>
    <row r="95" spans="2:27" ht="15.75" customHeight="1" x14ac:dyDescent="0.25"/>
    <row r="96" spans="2:27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autoFilter ref="A1:G64"/>
  <pageMargins left="0.7" right="0.7" top="0.75" bottom="0.75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topLeftCell="A28" zoomScale="85" zoomScaleNormal="85" workbookViewId="0">
      <selection activeCell="U14" sqref="U14"/>
    </sheetView>
  </sheetViews>
  <sheetFormatPr defaultColWidth="14.42578125" defaultRowHeight="15" customHeight="1" x14ac:dyDescent="0.25"/>
  <cols>
    <col min="1" max="1" width="21.28515625" style="1" customWidth="1"/>
    <col min="2" max="2" width="18.42578125" style="1" customWidth="1"/>
    <col min="3" max="4" width="9.5703125" style="1" customWidth="1"/>
    <col min="5" max="5" width="8.85546875" style="1" customWidth="1"/>
    <col min="6" max="6" width="9.85546875" style="1" customWidth="1"/>
    <col min="7" max="7" width="8.85546875" style="1" customWidth="1"/>
    <col min="8" max="9" width="8.7109375" style="1" customWidth="1"/>
    <col min="10" max="10" width="13.42578125" style="1" customWidth="1"/>
    <col min="11" max="24" width="8.7109375" style="1" customWidth="1"/>
  </cols>
  <sheetData>
    <row r="1" spans="1:25" s="1" customFormat="1" ht="15" customHeight="1" x14ac:dyDescent="0.25">
      <c r="A1" s="5" t="s">
        <v>2</v>
      </c>
      <c r="B1" s="5" t="s">
        <v>19</v>
      </c>
      <c r="C1" s="5" t="s">
        <v>14</v>
      </c>
      <c r="D1" s="5" t="s">
        <v>20</v>
      </c>
      <c r="E1" s="5" t="s">
        <v>18</v>
      </c>
      <c r="F1" s="5" t="s">
        <v>17</v>
      </c>
      <c r="G1" s="5" t="s">
        <v>12</v>
      </c>
      <c r="N1" s="5" t="s">
        <v>19</v>
      </c>
      <c r="O1" s="5" t="s">
        <v>14</v>
      </c>
      <c r="P1" s="5" t="s">
        <v>20</v>
      </c>
      <c r="Q1" s="5" t="s">
        <v>18</v>
      </c>
      <c r="R1" s="5" t="s">
        <v>17</v>
      </c>
    </row>
    <row r="2" spans="1:25" s="1" customFormat="1" x14ac:dyDescent="0.25">
      <c r="A2" s="5">
        <v>1</v>
      </c>
      <c r="B2" s="5">
        <v>19</v>
      </c>
      <c r="C2" s="5">
        <v>24</v>
      </c>
      <c r="D2" s="5">
        <v>34</v>
      </c>
      <c r="E2" s="5">
        <v>7</v>
      </c>
      <c r="F2" s="5">
        <v>13</v>
      </c>
      <c r="G2" s="6">
        <v>2</v>
      </c>
      <c r="N2" s="5">
        <v>19</v>
      </c>
      <c r="O2" s="5">
        <v>24</v>
      </c>
      <c r="P2" s="5">
        <v>34</v>
      </c>
      <c r="Q2" s="5">
        <v>7</v>
      </c>
      <c r="R2" s="5">
        <v>13</v>
      </c>
    </row>
    <row r="3" spans="1:25" s="1" customFormat="1" x14ac:dyDescent="0.25">
      <c r="A3" s="5">
        <v>2</v>
      </c>
      <c r="B3" s="5">
        <v>15</v>
      </c>
      <c r="C3" s="5">
        <v>20</v>
      </c>
      <c r="D3" s="5">
        <v>39</v>
      </c>
      <c r="E3" s="5">
        <v>13</v>
      </c>
      <c r="F3" s="5">
        <v>11</v>
      </c>
      <c r="G3" s="6">
        <v>2</v>
      </c>
      <c r="I3" s="61"/>
      <c r="J3" s="5"/>
      <c r="M3" s="15"/>
      <c r="N3" s="5">
        <v>15</v>
      </c>
      <c r="O3" s="5">
        <v>20</v>
      </c>
      <c r="P3" s="5">
        <v>39</v>
      </c>
      <c r="Q3" s="5">
        <v>13</v>
      </c>
      <c r="R3" s="5">
        <v>11</v>
      </c>
      <c r="S3" s="4"/>
      <c r="T3" s="4"/>
      <c r="U3" s="4"/>
      <c r="V3" s="4"/>
      <c r="W3" s="4"/>
      <c r="X3" s="4"/>
      <c r="Y3" s="4"/>
    </row>
    <row r="4" spans="1:25" s="1" customFormat="1" x14ac:dyDescent="0.25">
      <c r="A4" s="5">
        <v>3</v>
      </c>
      <c r="B4" s="5">
        <v>16</v>
      </c>
      <c r="C4" s="5">
        <v>17</v>
      </c>
      <c r="D4" s="5">
        <v>47</v>
      </c>
      <c r="E4" s="5">
        <v>8</v>
      </c>
      <c r="F4" s="5">
        <v>9</v>
      </c>
      <c r="G4" s="6">
        <v>2</v>
      </c>
      <c r="J4" s="5"/>
      <c r="L4" s="4"/>
      <c r="M4" s="15"/>
      <c r="N4" s="5">
        <v>16</v>
      </c>
      <c r="O4" s="5">
        <v>17</v>
      </c>
      <c r="P4" s="5">
        <v>47</v>
      </c>
      <c r="Q4" s="5">
        <v>8</v>
      </c>
      <c r="R4" s="5">
        <v>9</v>
      </c>
      <c r="T4" s="4"/>
      <c r="U4" s="4"/>
      <c r="V4" s="4"/>
      <c r="W4" s="4"/>
      <c r="X4" s="4"/>
      <c r="Y4" s="4"/>
    </row>
    <row r="5" spans="1:25" s="1" customFormat="1" x14ac:dyDescent="0.25">
      <c r="A5" s="5">
        <v>4</v>
      </c>
      <c r="B5" s="5">
        <v>19</v>
      </c>
      <c r="C5" s="5">
        <v>25</v>
      </c>
      <c r="D5" s="5">
        <v>30</v>
      </c>
      <c r="E5" s="5">
        <v>12</v>
      </c>
      <c r="F5" s="5">
        <v>11</v>
      </c>
      <c r="G5" s="6">
        <v>2</v>
      </c>
      <c r="J5" s="5"/>
      <c r="L5" s="4"/>
      <c r="M5" s="15"/>
      <c r="N5" s="5">
        <v>19</v>
      </c>
      <c r="O5" s="5">
        <v>25</v>
      </c>
      <c r="P5" s="5">
        <v>30</v>
      </c>
      <c r="Q5" s="5">
        <v>12</v>
      </c>
      <c r="R5" s="5">
        <v>11</v>
      </c>
      <c r="S5" s="4"/>
      <c r="T5" s="4"/>
      <c r="U5" s="4"/>
      <c r="V5" s="4"/>
      <c r="W5" s="4"/>
      <c r="X5" s="4"/>
    </row>
    <row r="6" spans="1:25" s="1" customFormat="1" x14ac:dyDescent="0.25">
      <c r="A6" s="5">
        <v>5</v>
      </c>
      <c r="B6" s="5">
        <v>15</v>
      </c>
      <c r="C6" s="5">
        <v>21</v>
      </c>
      <c r="D6" s="5">
        <v>34</v>
      </c>
      <c r="E6" s="5">
        <v>13</v>
      </c>
      <c r="F6" s="5">
        <v>15</v>
      </c>
      <c r="G6" s="6">
        <v>2</v>
      </c>
      <c r="J6" s="5"/>
      <c r="L6" s="4"/>
      <c r="M6" s="15"/>
      <c r="N6" s="5">
        <v>15</v>
      </c>
      <c r="O6" s="5">
        <v>21</v>
      </c>
      <c r="P6" s="5">
        <v>34</v>
      </c>
      <c r="Q6" s="5">
        <v>13</v>
      </c>
      <c r="R6" s="5">
        <v>15</v>
      </c>
      <c r="S6" s="4"/>
      <c r="T6" s="4"/>
      <c r="U6" s="4"/>
      <c r="V6" s="4"/>
      <c r="W6" s="4"/>
      <c r="X6" s="4"/>
    </row>
    <row r="7" spans="1:25" s="1" customFormat="1" x14ac:dyDescent="0.25">
      <c r="A7" s="5">
        <v>6</v>
      </c>
      <c r="B7" s="5">
        <v>22</v>
      </c>
      <c r="C7" s="5">
        <v>21</v>
      </c>
      <c r="D7" s="5">
        <v>19</v>
      </c>
      <c r="E7" s="5">
        <v>14</v>
      </c>
      <c r="F7" s="5">
        <v>22</v>
      </c>
      <c r="G7" s="6">
        <v>1</v>
      </c>
      <c r="J7" s="5"/>
      <c r="L7" s="4"/>
      <c r="M7" s="15"/>
      <c r="N7" s="62">
        <v>13</v>
      </c>
      <c r="O7" s="5">
        <v>28</v>
      </c>
      <c r="P7" s="5">
        <v>35</v>
      </c>
      <c r="Q7" s="5">
        <v>11</v>
      </c>
      <c r="R7" s="5">
        <v>10</v>
      </c>
      <c r="S7" s="4"/>
      <c r="T7" s="4"/>
      <c r="U7" s="4"/>
      <c r="V7" s="4"/>
      <c r="W7" s="4"/>
      <c r="X7" s="4"/>
    </row>
    <row r="8" spans="1:25" s="1" customFormat="1" x14ac:dyDescent="0.25">
      <c r="A8" s="5">
        <v>7</v>
      </c>
      <c r="B8" s="5">
        <v>26</v>
      </c>
      <c r="C8" s="5">
        <v>21</v>
      </c>
      <c r="D8" s="5">
        <v>15</v>
      </c>
      <c r="E8" s="5">
        <v>19</v>
      </c>
      <c r="F8" s="5">
        <v>17</v>
      </c>
      <c r="G8" s="6">
        <v>3</v>
      </c>
      <c r="J8" s="5"/>
      <c r="L8" s="4"/>
      <c r="M8" s="15"/>
      <c r="N8" s="5">
        <v>26</v>
      </c>
      <c r="O8" s="5">
        <v>21</v>
      </c>
      <c r="P8" s="5">
        <v>15</v>
      </c>
      <c r="Q8" s="5">
        <v>19</v>
      </c>
      <c r="R8" s="5">
        <v>17</v>
      </c>
      <c r="S8" s="4"/>
      <c r="T8" s="4"/>
      <c r="U8" s="4"/>
      <c r="V8" s="4"/>
      <c r="W8" s="4"/>
      <c r="X8" s="4"/>
    </row>
    <row r="9" spans="1:25" s="1" customFormat="1" x14ac:dyDescent="0.25">
      <c r="A9" s="5">
        <v>8</v>
      </c>
      <c r="B9" s="62">
        <v>13</v>
      </c>
      <c r="C9" s="5">
        <v>28</v>
      </c>
      <c r="D9" s="5">
        <v>35</v>
      </c>
      <c r="E9" s="5">
        <v>11</v>
      </c>
      <c r="F9" s="5">
        <v>10</v>
      </c>
      <c r="G9" s="6">
        <v>2</v>
      </c>
      <c r="J9" s="5"/>
      <c r="L9" s="4"/>
      <c r="M9" s="15"/>
      <c r="N9"/>
      <c r="O9"/>
      <c r="P9"/>
      <c r="Q9"/>
      <c r="R9"/>
      <c r="S9" s="4"/>
      <c r="T9" s="4"/>
      <c r="U9" s="4"/>
      <c r="V9" s="4"/>
      <c r="W9" s="4"/>
      <c r="X9" s="4"/>
    </row>
    <row r="10" spans="1:25" s="1" customFormat="1" x14ac:dyDescent="0.25">
      <c r="A10" s="5">
        <v>13</v>
      </c>
      <c r="B10" s="5">
        <v>17</v>
      </c>
      <c r="C10" s="5">
        <v>38</v>
      </c>
      <c r="D10" s="5">
        <v>11</v>
      </c>
      <c r="E10" s="5">
        <v>18</v>
      </c>
      <c r="F10" s="5">
        <v>14</v>
      </c>
      <c r="G10" s="6">
        <v>2</v>
      </c>
      <c r="J10" s="5"/>
      <c r="L10" s="4"/>
      <c r="M10" s="15"/>
      <c r="N10"/>
      <c r="O10"/>
      <c r="P10"/>
      <c r="Q10"/>
      <c r="R10"/>
      <c r="S10" s="4"/>
      <c r="T10" s="4"/>
      <c r="U10" s="4"/>
      <c r="V10" s="4"/>
      <c r="W10" s="4"/>
      <c r="X10" s="4"/>
    </row>
    <row r="11" spans="1:25" s="1" customFormat="1" x14ac:dyDescent="0.25">
      <c r="A11" s="5">
        <v>16</v>
      </c>
      <c r="B11" s="5">
        <v>18</v>
      </c>
      <c r="C11" s="5">
        <v>24</v>
      </c>
      <c r="D11" s="5">
        <v>30</v>
      </c>
      <c r="E11" s="5">
        <v>17</v>
      </c>
      <c r="F11" s="5">
        <v>8</v>
      </c>
      <c r="G11" s="6">
        <v>2</v>
      </c>
      <c r="J11" s="5"/>
      <c r="L11" s="4"/>
      <c r="M11" s="15"/>
      <c r="N11" s="5">
        <v>17</v>
      </c>
      <c r="O11" s="5">
        <v>38</v>
      </c>
      <c r="P11" s="5">
        <v>11</v>
      </c>
      <c r="Q11" s="5">
        <v>18</v>
      </c>
      <c r="R11" s="5">
        <v>14</v>
      </c>
      <c r="S11" s="4"/>
      <c r="T11" s="4"/>
      <c r="U11" s="4"/>
      <c r="V11" s="4"/>
      <c r="W11" s="4"/>
      <c r="X11" s="4"/>
    </row>
    <row r="12" spans="1:25" s="1" customFormat="1" x14ac:dyDescent="0.25">
      <c r="A12" s="5">
        <v>18</v>
      </c>
      <c r="B12" s="5">
        <v>17</v>
      </c>
      <c r="C12" s="5">
        <v>24</v>
      </c>
      <c r="D12" s="5">
        <v>31</v>
      </c>
      <c r="E12" s="5">
        <v>15</v>
      </c>
      <c r="F12" s="5">
        <v>10</v>
      </c>
      <c r="G12" s="6">
        <v>2</v>
      </c>
      <c r="J12" s="5"/>
      <c r="L12" s="4"/>
      <c r="M12" s="15"/>
      <c r="N12"/>
      <c r="O12"/>
      <c r="P12"/>
      <c r="Q12"/>
      <c r="R12"/>
      <c r="S12" s="4"/>
      <c r="T12" s="4"/>
      <c r="U12" s="4"/>
      <c r="V12" s="4"/>
      <c r="W12" s="4"/>
      <c r="X12" s="4"/>
    </row>
    <row r="13" spans="1:25" s="1" customFormat="1" x14ac:dyDescent="0.25">
      <c r="A13" s="5">
        <v>19</v>
      </c>
      <c r="B13" s="5">
        <v>19</v>
      </c>
      <c r="C13" s="5">
        <v>23</v>
      </c>
      <c r="D13" s="5">
        <v>17</v>
      </c>
      <c r="E13" s="5">
        <v>15</v>
      </c>
      <c r="F13" s="5">
        <v>23</v>
      </c>
      <c r="G13" s="6">
        <v>2</v>
      </c>
      <c r="J13" s="5"/>
      <c r="L13" s="4"/>
      <c r="M13" s="15"/>
      <c r="N13"/>
      <c r="O13"/>
      <c r="P13"/>
      <c r="Q13"/>
      <c r="R13"/>
      <c r="S13" s="4"/>
      <c r="T13" s="4"/>
      <c r="U13" s="4"/>
      <c r="V13" s="4"/>
      <c r="W13" s="4"/>
      <c r="X13" s="4"/>
    </row>
    <row r="14" spans="1:25" s="1" customFormat="1" x14ac:dyDescent="0.25">
      <c r="A14" s="5">
        <v>20</v>
      </c>
      <c r="B14" s="5">
        <v>17</v>
      </c>
      <c r="C14" s="5">
        <v>26</v>
      </c>
      <c r="D14" s="5">
        <v>22</v>
      </c>
      <c r="E14" s="5">
        <v>17</v>
      </c>
      <c r="F14" s="5">
        <v>16</v>
      </c>
      <c r="G14" s="6">
        <v>3</v>
      </c>
      <c r="J14" s="5"/>
      <c r="M14" s="15"/>
      <c r="N14" s="5">
        <v>18</v>
      </c>
      <c r="O14" s="5">
        <v>24</v>
      </c>
      <c r="P14" s="5">
        <v>30</v>
      </c>
      <c r="Q14" s="5">
        <v>17</v>
      </c>
      <c r="R14" s="5">
        <v>8</v>
      </c>
    </row>
    <row r="15" spans="1:25" s="1" customFormat="1" x14ac:dyDescent="0.25">
      <c r="A15" s="5">
        <v>22</v>
      </c>
      <c r="B15" s="5">
        <v>25</v>
      </c>
      <c r="C15" s="5">
        <v>28</v>
      </c>
      <c r="D15" s="5">
        <v>21</v>
      </c>
      <c r="E15" s="5">
        <v>12</v>
      </c>
      <c r="F15" s="5">
        <v>11</v>
      </c>
      <c r="G15" s="6">
        <v>3</v>
      </c>
      <c r="J15" s="5"/>
      <c r="M15" s="15"/>
      <c r="N15"/>
      <c r="O15"/>
      <c r="P15"/>
      <c r="Q15"/>
      <c r="R15"/>
    </row>
    <row r="16" spans="1:25" s="1" customFormat="1" ht="15.75" x14ac:dyDescent="0.25">
      <c r="A16" s="5">
        <v>25</v>
      </c>
      <c r="B16" s="5">
        <v>16</v>
      </c>
      <c r="C16" s="5">
        <v>24</v>
      </c>
      <c r="D16" s="5">
        <v>37</v>
      </c>
      <c r="E16" s="5">
        <v>12</v>
      </c>
      <c r="F16" s="5">
        <v>8</v>
      </c>
      <c r="G16" s="6">
        <v>2</v>
      </c>
      <c r="I16" s="63"/>
      <c r="J16" s="5"/>
      <c r="L16" s="4"/>
      <c r="M16" s="15"/>
      <c r="N16"/>
      <c r="O16"/>
      <c r="P16"/>
      <c r="Q16"/>
      <c r="R16"/>
      <c r="S16" s="4"/>
      <c r="T16" s="4"/>
      <c r="U16" s="4"/>
      <c r="V16" s="4"/>
      <c r="W16" s="4"/>
      <c r="X16" s="4"/>
      <c r="Y16" s="4"/>
    </row>
    <row r="17" spans="1:26" s="1" customFormat="1" x14ac:dyDescent="0.25">
      <c r="A17" s="5">
        <v>27</v>
      </c>
      <c r="B17" s="5">
        <v>20</v>
      </c>
      <c r="C17" s="5">
        <v>19</v>
      </c>
      <c r="D17" s="5">
        <v>32</v>
      </c>
      <c r="E17" s="5">
        <v>16</v>
      </c>
      <c r="F17" s="5">
        <v>12</v>
      </c>
      <c r="G17" s="6">
        <v>2</v>
      </c>
      <c r="J17" s="5"/>
      <c r="L17" s="4"/>
      <c r="M17" s="15"/>
      <c r="N17" s="5">
        <v>17</v>
      </c>
      <c r="O17" s="5">
        <v>24</v>
      </c>
      <c r="P17" s="5">
        <v>31</v>
      </c>
      <c r="Q17" s="5">
        <v>15</v>
      </c>
      <c r="R17" s="5">
        <v>10</v>
      </c>
      <c r="S17" s="4"/>
      <c r="T17" s="4"/>
      <c r="U17" s="4"/>
      <c r="V17" s="4"/>
      <c r="W17" s="4"/>
      <c r="X17" s="4"/>
    </row>
    <row r="18" spans="1:26" s="1" customFormat="1" x14ac:dyDescent="0.25">
      <c r="A18" s="5">
        <v>28</v>
      </c>
      <c r="B18" s="5">
        <v>13</v>
      </c>
      <c r="C18" s="5">
        <v>24</v>
      </c>
      <c r="D18" s="5">
        <v>33</v>
      </c>
      <c r="E18" s="5">
        <v>14</v>
      </c>
      <c r="F18" s="5">
        <v>13</v>
      </c>
      <c r="G18" s="6">
        <v>2</v>
      </c>
      <c r="J18" s="5"/>
      <c r="L18" s="4"/>
      <c r="M18" s="15"/>
      <c r="N18"/>
      <c r="O18"/>
      <c r="P18"/>
      <c r="Q18"/>
      <c r="R18"/>
      <c r="S18" s="4"/>
      <c r="T18" s="4"/>
      <c r="U18" s="4"/>
      <c r="V18" s="4"/>
      <c r="W18" s="4"/>
      <c r="X18" s="4"/>
    </row>
    <row r="19" spans="1:26" s="1" customFormat="1" x14ac:dyDescent="0.25">
      <c r="A19" s="5">
        <v>29</v>
      </c>
      <c r="B19" s="5">
        <v>17</v>
      </c>
      <c r="C19" s="5">
        <v>31</v>
      </c>
      <c r="D19" s="5">
        <v>22</v>
      </c>
      <c r="E19" s="5">
        <v>15</v>
      </c>
      <c r="F19" s="5">
        <v>14</v>
      </c>
      <c r="G19" s="6">
        <v>3</v>
      </c>
      <c r="J19" s="5"/>
      <c r="L19" s="4"/>
      <c r="M19" s="15"/>
      <c r="N19" s="5">
        <v>19</v>
      </c>
      <c r="O19" s="5">
        <v>23</v>
      </c>
      <c r="P19" s="5">
        <v>17</v>
      </c>
      <c r="Q19" s="5">
        <v>15</v>
      </c>
      <c r="R19" s="5">
        <v>23</v>
      </c>
      <c r="S19" s="4"/>
      <c r="T19" s="4"/>
      <c r="U19" s="4"/>
      <c r="V19" s="4"/>
      <c r="W19" s="4"/>
      <c r="X19" s="4"/>
    </row>
    <row r="20" spans="1:26" s="1" customFormat="1" x14ac:dyDescent="0.25">
      <c r="A20" s="5">
        <v>30</v>
      </c>
      <c r="B20" s="5">
        <v>13</v>
      </c>
      <c r="C20" s="5">
        <v>24</v>
      </c>
      <c r="D20" s="5">
        <v>37</v>
      </c>
      <c r="E20" s="5">
        <v>15</v>
      </c>
      <c r="F20" s="5">
        <v>8</v>
      </c>
      <c r="G20" s="6">
        <v>2</v>
      </c>
      <c r="J20" s="5"/>
      <c r="L20" s="4"/>
      <c r="M20" s="15"/>
      <c r="N20" s="5">
        <v>20</v>
      </c>
      <c r="O20" s="5">
        <v>19</v>
      </c>
      <c r="P20" s="5">
        <v>32</v>
      </c>
      <c r="Q20" s="5">
        <v>16</v>
      </c>
      <c r="R20" s="5">
        <v>12</v>
      </c>
      <c r="S20" s="4"/>
      <c r="T20" s="4"/>
      <c r="U20" s="4"/>
      <c r="V20" s="4"/>
      <c r="W20" s="4"/>
      <c r="X20" s="4"/>
    </row>
    <row r="21" spans="1:26" s="1" customFormat="1" ht="15.75" customHeight="1" x14ac:dyDescent="0.25">
      <c r="A21" s="5">
        <v>31</v>
      </c>
      <c r="B21" s="5">
        <v>22</v>
      </c>
      <c r="C21" s="5">
        <v>20</v>
      </c>
      <c r="D21" s="5">
        <v>20</v>
      </c>
      <c r="E21" s="5">
        <v>16</v>
      </c>
      <c r="F21" s="5">
        <v>20</v>
      </c>
      <c r="G21" s="6">
        <v>3</v>
      </c>
      <c r="J21" s="5"/>
      <c r="L21" s="4"/>
      <c r="M21" s="15"/>
      <c r="N21" s="5">
        <v>17</v>
      </c>
      <c r="O21" s="5">
        <v>26</v>
      </c>
      <c r="P21" s="5">
        <v>22</v>
      </c>
      <c r="Q21" s="5">
        <v>17</v>
      </c>
      <c r="R21" s="5">
        <v>16</v>
      </c>
      <c r="S21" s="4"/>
      <c r="T21" s="4"/>
      <c r="U21" s="4"/>
      <c r="V21" s="4"/>
      <c r="W21" s="4"/>
      <c r="X21" s="4"/>
    </row>
    <row r="22" spans="1:26" s="1" customFormat="1" ht="15.75" customHeight="1" x14ac:dyDescent="0.25">
      <c r="A22" s="5">
        <v>32</v>
      </c>
      <c r="B22" s="5">
        <v>22</v>
      </c>
      <c r="C22" s="5">
        <v>19</v>
      </c>
      <c r="D22" s="5">
        <v>20</v>
      </c>
      <c r="E22" s="5">
        <v>19</v>
      </c>
      <c r="F22" s="5">
        <v>18</v>
      </c>
      <c r="G22" s="6">
        <v>1</v>
      </c>
      <c r="J22" s="5"/>
      <c r="L22" s="4"/>
      <c r="M22" s="15"/>
      <c r="N22"/>
      <c r="O22"/>
      <c r="P22"/>
      <c r="Q22"/>
      <c r="R22"/>
      <c r="S22" s="4"/>
      <c r="T22" s="4"/>
      <c r="U22" s="4"/>
      <c r="V22" s="4"/>
      <c r="W22" s="4"/>
      <c r="X22" s="4"/>
    </row>
    <row r="23" spans="1:26" s="1" customFormat="1" ht="15.75" customHeight="1" x14ac:dyDescent="0.25">
      <c r="A23" s="5">
        <v>33</v>
      </c>
      <c r="B23" s="5">
        <v>19</v>
      </c>
      <c r="C23" s="5">
        <v>21</v>
      </c>
      <c r="D23" s="5">
        <v>30</v>
      </c>
      <c r="E23" s="5">
        <v>16</v>
      </c>
      <c r="F23" s="5">
        <v>12</v>
      </c>
      <c r="G23" s="6">
        <v>2</v>
      </c>
      <c r="J23" s="5"/>
      <c r="L23" s="4"/>
      <c r="M23" s="15"/>
      <c r="N23" s="5">
        <v>25</v>
      </c>
      <c r="O23" s="5">
        <v>28</v>
      </c>
      <c r="P23" s="5">
        <v>21</v>
      </c>
      <c r="Q23" s="5">
        <v>12</v>
      </c>
      <c r="R23" s="5">
        <v>11</v>
      </c>
      <c r="S23" s="4"/>
      <c r="T23" s="4"/>
      <c r="U23" s="4"/>
      <c r="V23" s="4"/>
      <c r="W23" s="4"/>
      <c r="X23" s="4"/>
    </row>
    <row r="24" spans="1:26" s="4" customFormat="1" ht="15.75" customHeight="1" x14ac:dyDescent="0.25">
      <c r="A24" s="5">
        <v>34</v>
      </c>
      <c r="B24" s="5">
        <v>17</v>
      </c>
      <c r="C24" s="5">
        <v>23</v>
      </c>
      <c r="D24" s="5">
        <v>22</v>
      </c>
      <c r="E24" s="5">
        <v>19</v>
      </c>
      <c r="F24" s="5">
        <v>16</v>
      </c>
      <c r="G24" s="6">
        <v>3</v>
      </c>
      <c r="I24" s="1"/>
      <c r="J24" s="5"/>
      <c r="K24" s="1"/>
      <c r="M24" s="15"/>
      <c r="N24" s="5"/>
      <c r="O24" s="5"/>
      <c r="P24" s="5"/>
      <c r="Q24" s="5"/>
      <c r="R24" s="5"/>
      <c r="Y24" s="1"/>
      <c r="Z24" s="1"/>
    </row>
    <row r="25" spans="1:26" s="1" customFormat="1" ht="15.75" customHeight="1" x14ac:dyDescent="0.25">
      <c r="A25" s="5">
        <v>38</v>
      </c>
      <c r="B25" s="5">
        <v>18</v>
      </c>
      <c r="C25" s="5">
        <v>21</v>
      </c>
      <c r="D25" s="5">
        <v>33</v>
      </c>
      <c r="E25" s="5">
        <v>15</v>
      </c>
      <c r="F25" s="5">
        <v>10</v>
      </c>
      <c r="G25" s="6">
        <v>1</v>
      </c>
      <c r="J25" s="5"/>
      <c r="L25" s="4"/>
      <c r="M25" s="15"/>
      <c r="N25"/>
      <c r="O25"/>
      <c r="P25"/>
      <c r="Q25"/>
      <c r="R25"/>
      <c r="S25" s="4"/>
      <c r="T25" s="4"/>
      <c r="U25" s="4"/>
      <c r="V25" s="4"/>
      <c r="W25" s="4"/>
      <c r="X25" s="4"/>
    </row>
    <row r="26" spans="1:26" s="1" customFormat="1" ht="15.75" customHeight="1" x14ac:dyDescent="0.25">
      <c r="A26" s="5">
        <v>41</v>
      </c>
      <c r="B26" s="5">
        <v>9</v>
      </c>
      <c r="C26" s="5">
        <v>20</v>
      </c>
      <c r="D26" s="5">
        <v>31</v>
      </c>
      <c r="E26" s="5">
        <v>14</v>
      </c>
      <c r="F26" s="5">
        <v>23</v>
      </c>
      <c r="G26" s="6">
        <v>3</v>
      </c>
      <c r="J26" s="5"/>
      <c r="L26" s="4"/>
      <c r="M26" s="15"/>
      <c r="N26"/>
      <c r="O26"/>
      <c r="P26"/>
      <c r="Q26"/>
      <c r="R26"/>
      <c r="S26" s="4"/>
      <c r="T26" s="4"/>
      <c r="U26" s="4"/>
      <c r="V26" s="4"/>
      <c r="W26" s="4"/>
      <c r="X26" s="4"/>
    </row>
    <row r="27" spans="1:26" s="1" customFormat="1" ht="15.75" customHeight="1" x14ac:dyDescent="0.25">
      <c r="A27" s="5">
        <v>42</v>
      </c>
      <c r="B27" s="5">
        <v>14</v>
      </c>
      <c r="C27" s="5">
        <v>28</v>
      </c>
      <c r="D27" s="5">
        <v>27</v>
      </c>
      <c r="E27" s="5">
        <v>11</v>
      </c>
      <c r="F27" s="5">
        <v>18</v>
      </c>
      <c r="G27" s="6">
        <v>3</v>
      </c>
      <c r="J27" s="5"/>
      <c r="L27" s="4"/>
      <c r="M27" s="15"/>
      <c r="N27" s="5">
        <v>13</v>
      </c>
      <c r="O27" s="5">
        <v>24</v>
      </c>
      <c r="P27" s="5">
        <v>33</v>
      </c>
      <c r="Q27" s="5">
        <v>14</v>
      </c>
      <c r="R27" s="5">
        <v>13</v>
      </c>
      <c r="S27" s="4"/>
      <c r="T27" s="4"/>
      <c r="U27" s="4"/>
      <c r="V27" s="4"/>
      <c r="W27" s="4"/>
      <c r="X27" s="4"/>
    </row>
    <row r="28" spans="1:26" s="1" customFormat="1" ht="15.75" customHeight="1" x14ac:dyDescent="0.25">
      <c r="A28" s="5">
        <v>45</v>
      </c>
      <c r="B28" s="5">
        <v>18</v>
      </c>
      <c r="C28" s="5">
        <v>18</v>
      </c>
      <c r="D28" s="5">
        <v>18</v>
      </c>
      <c r="E28" s="5">
        <v>19</v>
      </c>
      <c r="F28" s="5">
        <v>23</v>
      </c>
      <c r="G28" s="6">
        <v>2</v>
      </c>
      <c r="J28" s="5"/>
      <c r="L28" s="4"/>
      <c r="M28" s="15"/>
      <c r="N28" s="5">
        <v>13</v>
      </c>
      <c r="O28" s="5">
        <v>24</v>
      </c>
      <c r="P28" s="5">
        <v>37</v>
      </c>
      <c r="Q28" s="5">
        <v>15</v>
      </c>
      <c r="R28" s="5">
        <v>8</v>
      </c>
      <c r="S28" s="4"/>
      <c r="T28" s="4"/>
      <c r="U28" s="4"/>
      <c r="V28" s="4"/>
      <c r="W28" s="4"/>
      <c r="X28" s="4"/>
    </row>
    <row r="29" spans="1:26" s="1" customFormat="1" ht="15.75" customHeight="1" x14ac:dyDescent="0.25">
      <c r="A29" s="5">
        <v>46</v>
      </c>
      <c r="B29" s="5">
        <v>15</v>
      </c>
      <c r="C29" s="5">
        <v>37</v>
      </c>
      <c r="D29" s="5">
        <v>23</v>
      </c>
      <c r="E29" s="5">
        <v>11</v>
      </c>
      <c r="F29" s="5">
        <v>12</v>
      </c>
      <c r="G29" s="6">
        <v>2</v>
      </c>
      <c r="J29" s="5"/>
      <c r="L29" s="4"/>
      <c r="M29" s="15"/>
      <c r="N29" s="5">
        <v>17</v>
      </c>
      <c r="O29" s="5">
        <v>31</v>
      </c>
      <c r="P29" s="5">
        <v>22</v>
      </c>
      <c r="Q29" s="5">
        <v>15</v>
      </c>
      <c r="R29" s="5">
        <v>14</v>
      </c>
    </row>
    <row r="30" spans="1:26" s="1" customFormat="1" ht="15.75" customHeight="1" x14ac:dyDescent="0.25">
      <c r="A30" s="5">
        <v>48</v>
      </c>
      <c r="B30" s="5">
        <v>14</v>
      </c>
      <c r="C30" s="5">
        <v>16</v>
      </c>
      <c r="D30" s="5">
        <v>27</v>
      </c>
      <c r="E30" s="5">
        <v>15</v>
      </c>
      <c r="F30" s="5">
        <v>24</v>
      </c>
      <c r="G30" s="6">
        <v>2</v>
      </c>
      <c r="J30" s="5"/>
      <c r="L30" s="4"/>
      <c r="M30" s="15"/>
      <c r="N30" s="5">
        <v>19</v>
      </c>
      <c r="O30" s="5">
        <v>21</v>
      </c>
      <c r="P30" s="5">
        <v>30</v>
      </c>
      <c r="Q30" s="5">
        <v>16</v>
      </c>
      <c r="R30" s="5">
        <v>12</v>
      </c>
    </row>
    <row r="31" spans="1:26" s="1" customFormat="1" ht="15.75" customHeight="1" x14ac:dyDescent="0.25">
      <c r="A31" s="5">
        <v>49</v>
      </c>
      <c r="B31" s="5">
        <v>22</v>
      </c>
      <c r="C31" s="5">
        <v>27</v>
      </c>
      <c r="D31" s="5">
        <v>24</v>
      </c>
      <c r="E31" s="5">
        <v>10</v>
      </c>
      <c r="F31" s="5">
        <v>13</v>
      </c>
      <c r="G31" s="6">
        <v>2</v>
      </c>
      <c r="J31" s="5"/>
      <c r="L31" s="4"/>
      <c r="M31" s="15"/>
      <c r="N31" s="5">
        <v>22</v>
      </c>
      <c r="O31" s="5">
        <v>20</v>
      </c>
      <c r="P31" s="5">
        <v>20</v>
      </c>
      <c r="Q31" s="5">
        <v>16</v>
      </c>
      <c r="R31" s="5">
        <v>20</v>
      </c>
    </row>
    <row r="32" spans="1:26" s="1" customFormat="1" ht="15.75" customHeight="1" x14ac:dyDescent="0.25">
      <c r="A32" s="5">
        <v>50</v>
      </c>
      <c r="B32" s="5">
        <v>15</v>
      </c>
      <c r="C32" s="5">
        <v>27</v>
      </c>
      <c r="D32" s="5">
        <v>36</v>
      </c>
      <c r="E32" s="5">
        <v>11</v>
      </c>
      <c r="F32" s="5">
        <v>10</v>
      </c>
      <c r="G32" s="6">
        <v>1</v>
      </c>
      <c r="J32" s="5"/>
      <c r="L32" s="4"/>
      <c r="M32" s="15"/>
      <c r="N32" s="5">
        <v>18</v>
      </c>
      <c r="O32" s="5">
        <v>18</v>
      </c>
      <c r="P32" s="5">
        <v>18</v>
      </c>
      <c r="Q32" s="5">
        <v>19</v>
      </c>
      <c r="R32" s="5">
        <v>23</v>
      </c>
    </row>
    <row r="33" spans="1:26" s="1" customFormat="1" ht="15.75" customHeight="1" x14ac:dyDescent="0.25">
      <c r="A33" s="5">
        <v>51</v>
      </c>
      <c r="B33" s="5">
        <v>25</v>
      </c>
      <c r="C33" s="5">
        <v>19</v>
      </c>
      <c r="D33" s="5">
        <v>35</v>
      </c>
      <c r="E33" s="5">
        <v>11</v>
      </c>
      <c r="F33" s="5">
        <v>7</v>
      </c>
      <c r="G33" s="6">
        <v>2</v>
      </c>
      <c r="J33" s="5"/>
      <c r="L33" s="4"/>
      <c r="M33" s="15"/>
      <c r="N33" s="5">
        <v>15</v>
      </c>
      <c r="O33" s="5">
        <v>37</v>
      </c>
      <c r="P33" s="5">
        <v>23</v>
      </c>
      <c r="Q33" s="5">
        <v>11</v>
      </c>
      <c r="R33" s="5">
        <v>12</v>
      </c>
      <c r="S33" s="4"/>
      <c r="T33" s="4"/>
      <c r="U33" s="4"/>
      <c r="V33" s="4"/>
      <c r="W33" s="4"/>
      <c r="X33" s="4"/>
      <c r="Y33" s="4"/>
    </row>
    <row r="34" spans="1:26" s="1" customFormat="1" ht="15.75" customHeight="1" x14ac:dyDescent="0.25">
      <c r="A34" s="5">
        <v>54</v>
      </c>
      <c r="B34" s="5">
        <v>14</v>
      </c>
      <c r="C34" s="5">
        <v>27</v>
      </c>
      <c r="D34" s="5">
        <v>34</v>
      </c>
      <c r="E34" s="5">
        <v>15</v>
      </c>
      <c r="F34" s="5">
        <v>7</v>
      </c>
      <c r="G34" s="6">
        <v>2</v>
      </c>
      <c r="J34" s="5"/>
      <c r="L34" s="4"/>
      <c r="M34" s="15"/>
      <c r="N34" s="5">
        <v>17</v>
      </c>
      <c r="O34" s="5">
        <v>23</v>
      </c>
      <c r="P34" s="5">
        <v>22</v>
      </c>
      <c r="Q34" s="5">
        <v>19</v>
      </c>
      <c r="R34" s="5">
        <v>16</v>
      </c>
      <c r="S34" s="4"/>
      <c r="T34" s="4"/>
      <c r="U34" s="4"/>
      <c r="V34" s="4"/>
      <c r="W34" s="4"/>
      <c r="X34" s="4"/>
      <c r="Y34" s="4"/>
    </row>
    <row r="35" spans="1:26" s="1" customFormat="1" ht="15.75" customHeight="1" x14ac:dyDescent="0.25">
      <c r="A35" s="5">
        <v>55</v>
      </c>
      <c r="B35" s="5">
        <v>16</v>
      </c>
      <c r="C35" s="5">
        <v>21</v>
      </c>
      <c r="D35" s="5">
        <v>26</v>
      </c>
      <c r="E35" s="5">
        <v>18</v>
      </c>
      <c r="F35" s="5">
        <v>17</v>
      </c>
      <c r="G35" s="6">
        <v>1</v>
      </c>
      <c r="J35" s="5"/>
      <c r="L35" s="4"/>
      <c r="M35" s="15"/>
      <c r="N35"/>
      <c r="O35"/>
      <c r="P35"/>
      <c r="Q35"/>
      <c r="R35"/>
      <c r="S35" s="5"/>
      <c r="T35" s="4"/>
      <c r="U35" s="4"/>
      <c r="V35" s="4"/>
      <c r="W35" s="4"/>
      <c r="X35" s="4"/>
    </row>
    <row r="36" spans="1:26" s="1" customFormat="1" ht="15.75" customHeight="1" x14ac:dyDescent="0.25">
      <c r="A36" s="5">
        <v>56</v>
      </c>
      <c r="B36" s="5">
        <v>31</v>
      </c>
      <c r="C36" s="5">
        <v>17</v>
      </c>
      <c r="D36" s="5">
        <v>21</v>
      </c>
      <c r="E36" s="5">
        <v>14</v>
      </c>
      <c r="F36" s="5">
        <v>14</v>
      </c>
      <c r="G36" s="6">
        <v>2</v>
      </c>
      <c r="I36" s="4"/>
      <c r="J36" s="5"/>
      <c r="L36" s="4"/>
      <c r="M36" s="15"/>
      <c r="N36"/>
      <c r="O36"/>
      <c r="P36"/>
      <c r="Q36"/>
      <c r="R36"/>
      <c r="S36" s="5"/>
      <c r="T36" s="4"/>
      <c r="U36" s="4"/>
      <c r="V36" s="4"/>
      <c r="W36" s="4"/>
      <c r="X36" s="4"/>
    </row>
    <row r="37" spans="1:26" s="1" customFormat="1" ht="15.75" customHeight="1" x14ac:dyDescent="0.25">
      <c r="A37" s="5">
        <v>57</v>
      </c>
      <c r="B37" s="5">
        <v>16</v>
      </c>
      <c r="C37" s="5">
        <v>15</v>
      </c>
      <c r="D37" s="5">
        <v>20</v>
      </c>
      <c r="E37" s="5">
        <v>12</v>
      </c>
      <c r="F37" s="5">
        <v>34</v>
      </c>
      <c r="G37" s="6">
        <v>2</v>
      </c>
      <c r="J37" s="5"/>
      <c r="M37" s="15"/>
      <c r="N37"/>
      <c r="O37"/>
      <c r="P37"/>
      <c r="Q37"/>
      <c r="R37"/>
      <c r="S37" s="5"/>
      <c r="T37" s="4"/>
      <c r="U37" s="4"/>
      <c r="V37" s="4"/>
      <c r="W37" s="4"/>
      <c r="X37" s="4"/>
    </row>
    <row r="38" spans="1:26" s="1" customFormat="1" ht="15.75" customHeight="1" x14ac:dyDescent="0.25">
      <c r="A38" s="5">
        <v>58</v>
      </c>
      <c r="B38" s="5">
        <v>20</v>
      </c>
      <c r="C38" s="5">
        <v>19</v>
      </c>
      <c r="D38" s="5">
        <v>26</v>
      </c>
      <c r="E38" s="5">
        <v>12</v>
      </c>
      <c r="F38" s="5">
        <v>21</v>
      </c>
      <c r="G38" s="6">
        <v>3</v>
      </c>
      <c r="J38" s="5"/>
      <c r="M38" s="15"/>
      <c r="N38" s="5">
        <v>14</v>
      </c>
      <c r="O38" s="5">
        <v>16</v>
      </c>
      <c r="P38" s="5">
        <v>27</v>
      </c>
      <c r="Q38" s="5">
        <v>15</v>
      </c>
      <c r="R38" s="5">
        <v>24</v>
      </c>
      <c r="S38" s="5"/>
      <c r="T38" s="4"/>
      <c r="U38" s="4"/>
      <c r="V38" s="4"/>
      <c r="W38" s="4"/>
      <c r="X38" s="4"/>
    </row>
    <row r="39" spans="1:26" s="1" customFormat="1" ht="15.75" customHeight="1" x14ac:dyDescent="0.25">
      <c r="A39" s="5">
        <v>60</v>
      </c>
      <c r="B39" s="5">
        <v>11</v>
      </c>
      <c r="C39" s="5">
        <v>22</v>
      </c>
      <c r="D39" s="5">
        <v>41</v>
      </c>
      <c r="E39" s="5">
        <v>15</v>
      </c>
      <c r="F39" s="5">
        <v>9</v>
      </c>
      <c r="G39" s="6">
        <v>2</v>
      </c>
      <c r="J39" s="5"/>
      <c r="M39" s="15"/>
      <c r="N39"/>
      <c r="O39"/>
      <c r="P39"/>
      <c r="Q39"/>
      <c r="R39"/>
      <c r="S39" s="5"/>
      <c r="T39" s="4"/>
      <c r="U39" s="4"/>
      <c r="V39" s="4"/>
      <c r="W39" s="4"/>
      <c r="X39" s="4"/>
    </row>
    <row r="40" spans="1:26" s="1" customFormat="1" ht="15.75" customHeight="1" x14ac:dyDescent="0.25">
      <c r="A40" s="5">
        <v>62</v>
      </c>
      <c r="B40" s="5">
        <v>19</v>
      </c>
      <c r="C40" s="5">
        <v>24</v>
      </c>
      <c r="D40" s="5">
        <v>29</v>
      </c>
      <c r="E40" s="5">
        <v>11</v>
      </c>
      <c r="F40" s="5">
        <v>14</v>
      </c>
      <c r="G40" s="6">
        <v>1</v>
      </c>
      <c r="J40" s="5"/>
      <c r="M40" s="15"/>
      <c r="N40"/>
      <c r="O40"/>
      <c r="P40"/>
      <c r="Q40"/>
      <c r="R40"/>
      <c r="S40" s="5"/>
      <c r="T40" s="4"/>
      <c r="U40" s="4"/>
      <c r="V40" s="4"/>
      <c r="W40" s="4"/>
      <c r="X40" s="4"/>
    </row>
    <row r="41" spans="1:26" s="1" customFormat="1" ht="15.75" customHeight="1" x14ac:dyDescent="0.25">
      <c r="A41" s="5">
        <v>63</v>
      </c>
      <c r="B41" s="5">
        <v>15</v>
      </c>
      <c r="C41" s="5">
        <v>26</v>
      </c>
      <c r="D41" s="5">
        <v>36</v>
      </c>
      <c r="E41" s="5">
        <v>14</v>
      </c>
      <c r="F41" s="5">
        <v>6</v>
      </c>
      <c r="G41" s="6">
        <v>1</v>
      </c>
      <c r="J41" s="5"/>
      <c r="M41" s="15"/>
      <c r="N41" s="5">
        <v>9</v>
      </c>
      <c r="O41" s="5">
        <v>20</v>
      </c>
      <c r="P41" s="5">
        <v>31</v>
      </c>
      <c r="Q41" s="5">
        <v>14</v>
      </c>
      <c r="R41" s="5">
        <v>23</v>
      </c>
      <c r="S41" s="5"/>
      <c r="T41" s="4"/>
      <c r="U41" s="4"/>
      <c r="V41" s="4"/>
      <c r="W41" s="4"/>
      <c r="X41" s="4"/>
    </row>
    <row r="42" spans="1:26" s="1" customFormat="1" ht="15.75" customHeight="1" x14ac:dyDescent="0.25">
      <c r="A42" s="5">
        <v>64</v>
      </c>
      <c r="B42" s="5">
        <v>19</v>
      </c>
      <c r="C42" s="5">
        <v>23</v>
      </c>
      <c r="D42" s="5">
        <v>39</v>
      </c>
      <c r="E42" s="5">
        <v>10</v>
      </c>
      <c r="F42" s="5">
        <v>7</v>
      </c>
      <c r="G42" s="6">
        <v>2</v>
      </c>
      <c r="J42" s="5"/>
      <c r="M42" s="15"/>
      <c r="N42" s="5">
        <v>14</v>
      </c>
      <c r="O42" s="5">
        <v>28</v>
      </c>
      <c r="P42" s="5">
        <v>27</v>
      </c>
      <c r="Q42" s="5">
        <v>11</v>
      </c>
      <c r="R42" s="5">
        <v>18</v>
      </c>
      <c r="S42" s="4"/>
      <c r="T42" s="4"/>
      <c r="U42" s="4"/>
      <c r="V42" s="4"/>
      <c r="W42" s="4"/>
      <c r="X42" s="4"/>
      <c r="Y42" s="4"/>
    </row>
    <row r="43" spans="1:26" s="1" customFormat="1" ht="15.75" customHeight="1" x14ac:dyDescent="0.25">
      <c r="A43"/>
      <c r="J43" s="5"/>
      <c r="M43" s="15"/>
      <c r="N43"/>
      <c r="O43"/>
      <c r="P43"/>
      <c r="Q43"/>
      <c r="R43"/>
      <c r="S43" s="4"/>
      <c r="T43" s="4"/>
      <c r="U43" s="4"/>
      <c r="V43" s="4"/>
      <c r="W43" s="4"/>
      <c r="X43" s="4"/>
      <c r="Y43" s="4"/>
    </row>
    <row r="44" spans="1:26" s="1" customFormat="1" ht="15.75" customHeight="1" x14ac:dyDescent="0.25">
      <c r="A44"/>
      <c r="B44"/>
      <c r="C44"/>
      <c r="D44"/>
      <c r="E44"/>
      <c r="F44"/>
      <c r="G44"/>
      <c r="H44"/>
      <c r="J44" s="5"/>
      <c r="M44" s="15"/>
      <c r="N44"/>
      <c r="O44"/>
      <c r="P44"/>
      <c r="Q44"/>
      <c r="R44"/>
      <c r="S44" s="4"/>
      <c r="T44" s="4"/>
      <c r="U44" s="4"/>
      <c r="V44" s="4"/>
      <c r="W44" s="4"/>
      <c r="X44" s="4"/>
      <c r="Y44" s="4"/>
    </row>
    <row r="45" spans="1:26" s="1" customFormat="1" ht="15.75" customHeight="1" x14ac:dyDescent="0.25">
      <c r="A45"/>
      <c r="B45"/>
      <c r="C45"/>
      <c r="D45"/>
      <c r="E45"/>
      <c r="F45"/>
      <c r="G45"/>
      <c r="H45"/>
      <c r="J45" s="5"/>
      <c r="M45" s="15"/>
      <c r="N45" s="5">
        <v>22</v>
      </c>
      <c r="O45" s="5">
        <v>27</v>
      </c>
      <c r="P45" s="5">
        <v>24</v>
      </c>
      <c r="Q45" s="5">
        <v>10</v>
      </c>
      <c r="R45" s="5">
        <v>13</v>
      </c>
      <c r="S45" s="5"/>
      <c r="T45" s="62"/>
      <c r="U45" s="4"/>
      <c r="V45" s="4"/>
      <c r="W45" s="4"/>
      <c r="X45" s="4"/>
    </row>
    <row r="46" spans="1:26" s="1" customFormat="1" ht="15.75" customHeight="1" x14ac:dyDescent="0.25">
      <c r="A46"/>
      <c r="B46"/>
      <c r="C46"/>
      <c r="D46"/>
      <c r="E46"/>
      <c r="F46"/>
      <c r="G46"/>
      <c r="H46"/>
      <c r="J46" s="5"/>
      <c r="M46" s="15"/>
      <c r="N46" s="5">
        <v>25</v>
      </c>
      <c r="O46" s="5">
        <v>19</v>
      </c>
      <c r="P46" s="5">
        <v>35</v>
      </c>
      <c r="Q46" s="5">
        <v>11</v>
      </c>
      <c r="R46" s="5">
        <v>7</v>
      </c>
      <c r="S46" s="5"/>
      <c r="T46" s="5"/>
      <c r="U46" s="4"/>
      <c r="V46" s="4"/>
      <c r="W46" s="4"/>
      <c r="X46" s="4"/>
    </row>
    <row r="47" spans="1:26" ht="15.75" customHeight="1" x14ac:dyDescent="0.25">
      <c r="A47"/>
      <c r="B47"/>
      <c r="C47"/>
      <c r="D47"/>
      <c r="E47"/>
      <c r="F47"/>
      <c r="G47"/>
      <c r="H47"/>
      <c r="J47" s="5"/>
      <c r="M47" s="15"/>
      <c r="N47"/>
      <c r="O47"/>
      <c r="P47"/>
      <c r="Q47"/>
      <c r="R47"/>
      <c r="S47" s="5"/>
      <c r="T47" s="5"/>
      <c r="U47" s="4"/>
      <c r="V47" s="4"/>
      <c r="W47" s="4"/>
      <c r="X47" s="4"/>
      <c r="Y47" s="1"/>
      <c r="Z47" s="1"/>
    </row>
    <row r="48" spans="1:26" ht="15.75" customHeight="1" x14ac:dyDescent="0.25">
      <c r="A48"/>
      <c r="B48"/>
      <c r="C48"/>
      <c r="D48"/>
      <c r="E48"/>
      <c r="F48"/>
      <c r="G48"/>
      <c r="H48"/>
      <c r="J48" s="5"/>
      <c r="M48" s="15"/>
      <c r="N48" s="5">
        <v>14</v>
      </c>
      <c r="O48" s="5">
        <v>27</v>
      </c>
      <c r="P48" s="5">
        <v>34</v>
      </c>
      <c r="Q48" s="5">
        <v>15</v>
      </c>
      <c r="R48" s="5">
        <v>7</v>
      </c>
      <c r="S48" s="5"/>
      <c r="T48" s="5"/>
      <c r="U48" s="4"/>
      <c r="V48" s="4"/>
      <c r="W48" s="4"/>
      <c r="X48" s="4"/>
      <c r="Y48" s="1"/>
      <c r="Z48" s="1"/>
    </row>
    <row r="49" spans="1:26" ht="15.75" customHeight="1" x14ac:dyDescent="0.25">
      <c r="A49"/>
      <c r="B49"/>
      <c r="C49"/>
      <c r="D49"/>
      <c r="E49"/>
      <c r="F49"/>
      <c r="G49"/>
      <c r="H49"/>
      <c r="J49" s="5"/>
      <c r="M49" s="15"/>
      <c r="N49" s="5">
        <v>31</v>
      </c>
      <c r="O49" s="5">
        <v>17</v>
      </c>
      <c r="P49" s="5">
        <v>21</v>
      </c>
      <c r="Q49" s="5">
        <v>14</v>
      </c>
      <c r="R49" s="5">
        <v>14</v>
      </c>
      <c r="S49" s="5"/>
      <c r="T49" s="5"/>
      <c r="U49" s="4"/>
      <c r="V49" s="4"/>
      <c r="W49" s="4"/>
      <c r="X49" s="4"/>
      <c r="Y49" s="1"/>
      <c r="Z49" s="1"/>
    </row>
    <row r="50" spans="1:26" ht="15.75" customHeight="1" x14ac:dyDescent="0.25">
      <c r="A50"/>
      <c r="B50"/>
      <c r="C50"/>
      <c r="D50"/>
      <c r="E50"/>
      <c r="F50"/>
      <c r="G50"/>
      <c r="H50"/>
      <c r="J50" s="5"/>
      <c r="M50" s="15"/>
      <c r="N50" s="5">
        <v>16</v>
      </c>
      <c r="O50" s="5">
        <v>15</v>
      </c>
      <c r="P50" s="5">
        <v>20</v>
      </c>
      <c r="Q50" s="5">
        <v>12</v>
      </c>
      <c r="R50" s="5">
        <v>34</v>
      </c>
      <c r="S50" s="5"/>
      <c r="T50" s="5"/>
      <c r="U50" s="4"/>
      <c r="V50" s="4"/>
      <c r="W50" s="4"/>
      <c r="X50" s="4"/>
      <c r="Y50" s="1"/>
      <c r="Z50" s="1"/>
    </row>
    <row r="51" spans="1:26" ht="15.75" customHeight="1" x14ac:dyDescent="0.25">
      <c r="A51"/>
      <c r="B51"/>
      <c r="C51"/>
      <c r="D51"/>
      <c r="E51"/>
      <c r="F51"/>
      <c r="G51"/>
      <c r="H51"/>
      <c r="J51" s="5"/>
      <c r="M51" s="15"/>
      <c r="N51" s="5">
        <v>11</v>
      </c>
      <c r="O51" s="5">
        <v>22</v>
      </c>
      <c r="P51" s="5">
        <v>41</v>
      </c>
      <c r="Q51" s="5">
        <v>15</v>
      </c>
      <c r="R51" s="5">
        <v>9</v>
      </c>
      <c r="S51" s="5"/>
      <c r="T51" s="5"/>
      <c r="U51" s="4"/>
      <c r="V51" s="4"/>
      <c r="W51" s="4"/>
      <c r="X51" s="4"/>
      <c r="Y51" s="1"/>
      <c r="Z51" s="1"/>
    </row>
    <row r="52" spans="1:26" ht="15.75" customHeight="1" x14ac:dyDescent="0.25">
      <c r="A52"/>
      <c r="B52"/>
      <c r="C52"/>
      <c r="D52"/>
      <c r="E52"/>
      <c r="F52"/>
      <c r="G52"/>
      <c r="H52"/>
      <c r="J52" s="5"/>
      <c r="M52" s="15"/>
      <c r="N52"/>
      <c r="O52"/>
      <c r="P52"/>
      <c r="Q52"/>
      <c r="R52"/>
      <c r="S52" s="5"/>
      <c r="T52" s="5"/>
      <c r="U52" s="4"/>
      <c r="V52" s="4"/>
      <c r="W52" s="4"/>
      <c r="X52" s="4"/>
      <c r="Y52" s="1"/>
      <c r="Z52" s="1"/>
    </row>
    <row r="53" spans="1:26" ht="15.75" customHeight="1" x14ac:dyDescent="0.25">
      <c r="A53"/>
      <c r="B53"/>
      <c r="C53"/>
      <c r="D53"/>
      <c r="E53"/>
      <c r="F53"/>
      <c r="G53"/>
      <c r="H53"/>
      <c r="J53" s="5"/>
      <c r="M53" s="15"/>
      <c r="N53"/>
      <c r="O53"/>
      <c r="P53"/>
      <c r="Q53"/>
      <c r="R53"/>
      <c r="S53" s="5"/>
      <c r="T53" s="5"/>
      <c r="U53" s="4"/>
      <c r="V53" s="4"/>
      <c r="W53" s="4"/>
      <c r="X53" s="4"/>
      <c r="Y53" s="1"/>
      <c r="Z53" s="1"/>
    </row>
    <row r="54" spans="1:26" ht="15.75" customHeight="1" x14ac:dyDescent="0.25">
      <c r="A54"/>
      <c r="B54"/>
      <c r="C54"/>
      <c r="D54"/>
      <c r="E54"/>
      <c r="F54"/>
      <c r="G54"/>
      <c r="H54"/>
      <c r="J54" s="5"/>
      <c r="M54" s="15"/>
      <c r="N54" s="5">
        <v>19</v>
      </c>
      <c r="O54" s="5">
        <v>23</v>
      </c>
      <c r="P54" s="5">
        <v>39</v>
      </c>
      <c r="Q54" s="5">
        <v>10</v>
      </c>
      <c r="R54" s="5">
        <v>7</v>
      </c>
      <c r="S54" s="5"/>
      <c r="T54" s="5"/>
      <c r="U54" s="4"/>
      <c r="V54" s="4"/>
      <c r="W54" s="4"/>
      <c r="X54" s="4"/>
      <c r="Y54" s="1"/>
      <c r="Z54" s="1"/>
    </row>
    <row r="55" spans="1:26" ht="15.75" customHeight="1" x14ac:dyDescent="0.25">
      <c r="A55"/>
      <c r="B55"/>
      <c r="C55"/>
      <c r="D55"/>
      <c r="E55"/>
      <c r="F55"/>
      <c r="G55"/>
      <c r="H55"/>
      <c r="J55" s="5"/>
      <c r="M55" s="15"/>
      <c r="N55" s="5">
        <v>22</v>
      </c>
      <c r="O55" s="5">
        <v>21</v>
      </c>
      <c r="P55" s="5">
        <v>19</v>
      </c>
      <c r="Q55" s="5">
        <v>14</v>
      </c>
      <c r="R55" s="5">
        <v>22</v>
      </c>
      <c r="S55" s="5"/>
      <c r="T55" s="5"/>
      <c r="U55" s="4"/>
      <c r="V55" s="4"/>
      <c r="W55" s="4"/>
      <c r="X55" s="4"/>
      <c r="Y55" s="1"/>
      <c r="Z55" s="1"/>
    </row>
    <row r="56" spans="1:26" ht="15.75" customHeight="1" x14ac:dyDescent="0.25">
      <c r="B56" s="5"/>
      <c r="C56" s="5"/>
      <c r="D56" s="4"/>
      <c r="E56" s="4"/>
      <c r="F56" s="4"/>
      <c r="G56" s="4"/>
      <c r="H56" s="4"/>
      <c r="J56" s="5"/>
      <c r="M56" s="15"/>
      <c r="N56" s="5">
        <v>22</v>
      </c>
      <c r="O56" s="5">
        <v>19</v>
      </c>
      <c r="P56" s="5">
        <v>20</v>
      </c>
      <c r="Q56" s="5">
        <v>19</v>
      </c>
      <c r="R56" s="5">
        <v>18</v>
      </c>
      <c r="S56" s="5"/>
      <c r="T56" s="5"/>
      <c r="U56" s="4"/>
      <c r="V56" s="4"/>
      <c r="W56" s="4"/>
      <c r="X56" s="4"/>
      <c r="Y56" s="1"/>
      <c r="Z56" s="1"/>
    </row>
    <row r="57" spans="1:26" ht="15.75" customHeight="1" x14ac:dyDescent="0.25">
      <c r="B57" s="5"/>
      <c r="C57" s="5"/>
      <c r="D57" s="4"/>
      <c r="E57" s="4"/>
      <c r="F57" s="4"/>
      <c r="G57" s="4"/>
      <c r="H57" s="4"/>
      <c r="J57" s="5"/>
      <c r="M57" s="15"/>
      <c r="N57" s="5">
        <v>18</v>
      </c>
      <c r="O57" s="5">
        <v>21</v>
      </c>
      <c r="P57" s="5">
        <v>33</v>
      </c>
      <c r="Q57" s="5">
        <v>15</v>
      </c>
      <c r="R57" s="5">
        <v>10</v>
      </c>
      <c r="S57" s="5"/>
      <c r="T57" s="5"/>
      <c r="U57" s="4"/>
      <c r="V57" s="4"/>
      <c r="W57" s="4"/>
      <c r="X57" s="4"/>
      <c r="Y57" s="1"/>
      <c r="Z57" s="1"/>
    </row>
    <row r="58" spans="1:26" ht="15.75" customHeight="1" x14ac:dyDescent="0.25">
      <c r="B58" s="5"/>
      <c r="C58" s="5"/>
      <c r="D58" s="4"/>
      <c r="E58" s="4"/>
      <c r="F58" s="4"/>
      <c r="G58" s="4"/>
      <c r="H58" s="4"/>
      <c r="J58" s="5"/>
      <c r="M58" s="15"/>
      <c r="N58" s="5">
        <v>20</v>
      </c>
      <c r="O58" s="5">
        <v>19</v>
      </c>
      <c r="P58" s="5">
        <v>26</v>
      </c>
      <c r="Q58" s="5">
        <v>12</v>
      </c>
      <c r="R58" s="5">
        <v>21</v>
      </c>
      <c r="S58" s="5"/>
      <c r="T58" s="5"/>
      <c r="U58" s="4"/>
      <c r="V58" s="4"/>
      <c r="W58" s="4"/>
      <c r="X58" s="4"/>
      <c r="Y58" s="1"/>
      <c r="Z58" s="1"/>
    </row>
    <row r="59" spans="1:26" ht="15.75" customHeight="1" x14ac:dyDescent="0.25">
      <c r="B59" s="5"/>
      <c r="C59" s="5"/>
      <c r="D59" s="4"/>
      <c r="E59" s="4"/>
      <c r="F59" s="4"/>
      <c r="G59" s="4"/>
      <c r="H59" s="64"/>
      <c r="J59" s="5"/>
      <c r="M59" s="15"/>
      <c r="N59"/>
      <c r="O59"/>
      <c r="P59"/>
      <c r="Q59"/>
      <c r="R59"/>
      <c r="S59" s="5"/>
      <c r="T59" s="5"/>
      <c r="U59" s="4"/>
      <c r="V59" s="4"/>
      <c r="W59" s="4"/>
      <c r="X59" s="4"/>
      <c r="Y59" s="1"/>
    </row>
    <row r="60" spans="1:26" ht="15.75" customHeight="1" x14ac:dyDescent="0.25">
      <c r="B60" s="5"/>
      <c r="C60" s="5"/>
      <c r="D60" s="4"/>
      <c r="E60" s="4"/>
      <c r="F60" s="4"/>
      <c r="G60" s="4"/>
      <c r="H60" s="64"/>
      <c r="J60" s="5"/>
      <c r="M60" s="15"/>
      <c r="N60" s="5">
        <v>15</v>
      </c>
      <c r="O60" s="5">
        <v>27</v>
      </c>
      <c r="P60" s="5">
        <v>36</v>
      </c>
      <c r="Q60" s="5">
        <v>11</v>
      </c>
      <c r="R60" s="5">
        <v>10</v>
      </c>
      <c r="S60" s="5"/>
      <c r="T60" s="5"/>
      <c r="U60" s="4"/>
      <c r="V60" s="4"/>
      <c r="W60" s="4"/>
      <c r="X60" s="4"/>
      <c r="Y60" s="1"/>
    </row>
    <row r="61" spans="1:26" ht="15.75" customHeight="1" x14ac:dyDescent="0.25">
      <c r="B61" s="5"/>
      <c r="C61" s="5"/>
      <c r="D61" s="4"/>
      <c r="E61" s="4"/>
      <c r="F61" s="4"/>
      <c r="G61" s="4"/>
      <c r="H61" s="64"/>
      <c r="J61" s="5"/>
      <c r="M61" s="15"/>
      <c r="N61"/>
      <c r="O61"/>
      <c r="P61"/>
      <c r="Q61"/>
      <c r="R61"/>
      <c r="S61" s="5"/>
      <c r="T61" s="5"/>
      <c r="U61" s="4"/>
      <c r="V61" s="4"/>
      <c r="W61" s="4"/>
      <c r="X61" s="4"/>
      <c r="Y61" s="1"/>
    </row>
    <row r="62" spans="1:26" ht="15.75" customHeight="1" x14ac:dyDescent="0.25">
      <c r="B62" s="5"/>
      <c r="C62" s="5"/>
      <c r="D62" s="4"/>
      <c r="E62" s="4"/>
      <c r="F62" s="4"/>
      <c r="G62" s="4"/>
      <c r="H62" s="64"/>
      <c r="J62" s="5"/>
      <c r="M62" s="15"/>
      <c r="N62" s="5">
        <v>16</v>
      </c>
      <c r="O62" s="5">
        <v>21</v>
      </c>
      <c r="P62" s="5">
        <v>26</v>
      </c>
      <c r="Q62" s="5">
        <v>18</v>
      </c>
      <c r="R62" s="5">
        <v>17</v>
      </c>
      <c r="S62" s="5"/>
      <c r="T62" s="5"/>
      <c r="U62" s="4"/>
      <c r="V62" s="4"/>
      <c r="W62" s="4"/>
      <c r="X62" s="4"/>
      <c r="Y62" s="1"/>
    </row>
    <row r="63" spans="1:26" ht="15.75" customHeight="1" x14ac:dyDescent="0.25">
      <c r="B63" s="5"/>
      <c r="C63" s="5"/>
      <c r="D63" s="4"/>
      <c r="E63" s="4"/>
      <c r="F63" s="4"/>
      <c r="G63" s="4"/>
      <c r="H63" s="64"/>
      <c r="J63" s="5"/>
      <c r="M63" s="15"/>
      <c r="N63" s="5">
        <v>19</v>
      </c>
      <c r="O63" s="5">
        <v>24</v>
      </c>
      <c r="P63" s="5">
        <v>29</v>
      </c>
      <c r="Q63" s="5">
        <v>11</v>
      </c>
      <c r="R63" s="5">
        <v>14</v>
      </c>
      <c r="S63" s="5"/>
      <c r="T63" s="5"/>
      <c r="U63" s="4"/>
      <c r="V63" s="4"/>
      <c r="W63" s="4"/>
      <c r="X63" s="4"/>
      <c r="Y63" s="1"/>
    </row>
    <row r="64" spans="1:26" ht="15.75" customHeight="1" x14ac:dyDescent="0.25">
      <c r="B64" s="5"/>
      <c r="C64" s="5"/>
      <c r="D64" s="4"/>
      <c r="E64" s="4"/>
      <c r="F64" s="4"/>
      <c r="G64" s="4"/>
      <c r="H64" s="64"/>
      <c r="J64" s="5"/>
      <c r="M64" s="15"/>
      <c r="N64" s="5">
        <v>15</v>
      </c>
      <c r="O64" s="5">
        <v>26</v>
      </c>
      <c r="P64" s="5">
        <v>36</v>
      </c>
      <c r="Q64" s="5">
        <v>14</v>
      </c>
      <c r="R64" s="5">
        <v>6</v>
      </c>
      <c r="S64" s="5"/>
      <c r="T64" s="4"/>
      <c r="U64" s="4"/>
      <c r="V64" s="4"/>
      <c r="W64" s="4"/>
      <c r="X64" s="4"/>
      <c r="Y64" s="1"/>
    </row>
    <row r="65" spans="2:25" ht="15.75" customHeight="1" x14ac:dyDescent="0.25">
      <c r="B65" s="5"/>
      <c r="C65" s="5"/>
      <c r="D65" s="4"/>
      <c r="E65" s="4"/>
      <c r="F65" s="4"/>
      <c r="G65" s="4"/>
      <c r="H65" s="64"/>
      <c r="J65" s="5"/>
      <c r="M65" s="15"/>
      <c r="S65" s="5"/>
      <c r="T65" s="4"/>
      <c r="U65" s="4"/>
      <c r="V65" s="4"/>
      <c r="W65" s="4"/>
      <c r="X65" s="4"/>
      <c r="Y65" s="1"/>
    </row>
    <row r="66" spans="2:25" ht="15.75" customHeight="1" x14ac:dyDescent="0.25">
      <c r="B66" s="5"/>
      <c r="C66" s="5"/>
      <c r="D66" s="4"/>
      <c r="E66" s="4"/>
      <c r="F66" s="4"/>
      <c r="G66" s="4"/>
      <c r="H66" s="64"/>
      <c r="J66" s="5"/>
      <c r="S66" s="5"/>
      <c r="T66" s="4"/>
      <c r="U66" s="4"/>
      <c r="V66" s="4"/>
      <c r="W66" s="4"/>
      <c r="X66" s="4"/>
      <c r="Y66" s="1"/>
    </row>
    <row r="67" spans="2:25" ht="15.75" customHeight="1" x14ac:dyDescent="0.25">
      <c r="B67" s="5"/>
      <c r="C67" s="5"/>
      <c r="D67" s="4"/>
      <c r="E67" s="4"/>
      <c r="F67" s="4"/>
      <c r="G67" s="4"/>
      <c r="H67" s="64"/>
      <c r="S67" s="5"/>
      <c r="T67" s="4"/>
      <c r="U67" s="4"/>
      <c r="V67" s="4"/>
      <c r="W67" s="4"/>
      <c r="X67" s="4"/>
      <c r="Y67" s="1"/>
    </row>
    <row r="68" spans="2:25" ht="15.75" customHeight="1" x14ac:dyDescent="0.25">
      <c r="B68" s="5"/>
      <c r="C68" s="5"/>
      <c r="D68" s="4"/>
      <c r="E68" s="4"/>
      <c r="F68" s="4"/>
      <c r="G68" s="4"/>
      <c r="H68" s="64"/>
      <c r="S68" s="5"/>
      <c r="T68" s="4"/>
      <c r="U68" s="4"/>
      <c r="V68" s="4"/>
      <c r="W68" s="4"/>
      <c r="X68" s="4"/>
      <c r="Y68" s="1"/>
    </row>
    <row r="69" spans="2:25" ht="15.75" customHeight="1" x14ac:dyDescent="0.25">
      <c r="B69" s="5"/>
      <c r="C69" s="4"/>
      <c r="D69" s="4"/>
      <c r="E69" s="4"/>
      <c r="F69" s="4"/>
      <c r="G69" s="4"/>
      <c r="H69" s="64"/>
      <c r="S69" s="5"/>
      <c r="T69" s="4"/>
      <c r="U69" s="4"/>
      <c r="V69" s="4"/>
      <c r="W69" s="4"/>
      <c r="X69" s="4"/>
      <c r="Y69" s="1"/>
    </row>
    <row r="70" spans="2:25" ht="15.75" customHeight="1" x14ac:dyDescent="0.25">
      <c r="B70" s="5"/>
      <c r="C70" s="4"/>
      <c r="D70" s="4"/>
      <c r="E70" s="4"/>
      <c r="F70" s="4"/>
      <c r="G70" s="4"/>
      <c r="H70" s="64"/>
    </row>
    <row r="71" spans="2:25" ht="15.75" customHeight="1" x14ac:dyDescent="0.25">
      <c r="B71" s="5"/>
      <c r="C71" s="4"/>
      <c r="D71" s="4"/>
      <c r="E71" s="4"/>
      <c r="F71" s="4"/>
      <c r="G71" s="4"/>
    </row>
    <row r="72" spans="2:25" ht="15.75" customHeight="1" x14ac:dyDescent="0.25">
      <c r="B72" s="5"/>
      <c r="C72" s="4"/>
      <c r="D72" s="4"/>
      <c r="E72" s="4"/>
      <c r="F72" s="4"/>
      <c r="G72" s="4"/>
    </row>
    <row r="73" spans="2:25" ht="15.75" customHeight="1" x14ac:dyDescent="0.25">
      <c r="B73" s="5"/>
      <c r="C73" s="4"/>
      <c r="D73" s="4"/>
      <c r="E73" s="4"/>
      <c r="F73" s="4"/>
      <c r="G73" s="4"/>
    </row>
    <row r="74" spans="2:25" ht="15.75" customHeight="1" x14ac:dyDescent="0.25">
      <c r="B74" s="5"/>
      <c r="C74" s="4"/>
      <c r="D74" s="4"/>
      <c r="E74" s="4"/>
      <c r="F74" s="4"/>
      <c r="G74" s="4"/>
    </row>
    <row r="75" spans="2:25" ht="15.75" customHeight="1" x14ac:dyDescent="0.25"/>
    <row r="76" spans="2:25" ht="15.75" customHeight="1" x14ac:dyDescent="0.25"/>
    <row r="77" spans="2:25" ht="15.75" customHeight="1" x14ac:dyDescent="0.25"/>
    <row r="78" spans="2:25" ht="15.75" customHeight="1" x14ac:dyDescent="0.25"/>
    <row r="79" spans="2:25" ht="15.75" customHeight="1" x14ac:dyDescent="0.25"/>
    <row r="80" spans="2:25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autoFilter ref="B2:H55"/>
  <pageMargins left="0.7" right="0.7" top="0.75" bottom="0.75" header="0.511811023622047" footer="0.511811023622047"/>
  <pageSetup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ВСЕ ИМЕНА</vt:lpstr>
      <vt:lpstr>БИОХИМИЯ</vt:lpstr>
      <vt:lpstr>ФРАКЦИИ плазма</vt:lpstr>
      <vt:lpstr>ФРАКЦИИ эритр.</vt:lpstr>
      <vt:lpstr>Лист7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dc:description/>
  <cp:lastModifiedBy>Насыров Артур Вадимович</cp:lastModifiedBy>
  <cp:revision>4</cp:revision>
  <dcterms:created xsi:type="dcterms:W3CDTF">2022-04-27T06:55:32Z</dcterms:created>
  <dcterms:modified xsi:type="dcterms:W3CDTF">2026-05-21T14:04:21Z</dcterms:modified>
  <dc:language>ru-RU</dc:language>
</cp:coreProperties>
</file>