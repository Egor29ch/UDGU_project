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.v.nasirov\Downloads\"/>
    </mc:Choice>
  </mc:AlternateContent>
  <bookViews>
    <workbookView xWindow="0" yWindow="0" windowWidth="28800" windowHeight="12330" activeTab="1"/>
  </bookViews>
  <sheets>
    <sheet name="ВСЕ ИМЕНА" sheetId="1" r:id="rId1"/>
    <sheet name="БИОХИМИЯ" sheetId="2" r:id="rId2"/>
    <sheet name="ФРАКЦИИ плазма" sheetId="3" r:id="rId3"/>
    <sheet name="ФРАКЦИИ эритр." sheetId="4" r:id="rId4"/>
    <sheet name="Лист7" sheetId="7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" roundtripDataChecksum="8NGMShvlvhvgNgdy2UB6VAn5FoemzuV+kSjY4jg7mbs="/>
    </ext>
  </extLst>
</workbook>
</file>

<file path=xl/calcChain.xml><?xml version="1.0" encoding="utf-8"?>
<calcChain xmlns="http://schemas.openxmlformats.org/spreadsheetml/2006/main">
  <c r="X26" i="3" l="1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25" i="3"/>
  <c r="C56" i="2" l="1"/>
  <c r="C55" i="2"/>
  <c r="C54" i="2"/>
  <c r="C53" i="2"/>
  <c r="C52" i="2"/>
  <c r="C51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1" i="2"/>
  <c r="C30" i="2"/>
  <c r="C29" i="2"/>
  <c r="C28" i="2"/>
  <c r="C27" i="2"/>
  <c r="C26" i="2"/>
  <c r="C25" i="2"/>
  <c r="C24" i="2"/>
  <c r="C23" i="2"/>
  <c r="C22" i="2"/>
  <c r="C21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<sst xmlns="http://schemas.openxmlformats.org/spreadsheetml/2006/main" count="959" uniqueCount="125">
  <si>
    <t>БОЛЬНЫЕ (35чел.)</t>
  </si>
  <si>
    <t xml:space="preserve">ТРЕМОР(иной) 16чел. </t>
  </si>
  <si>
    <t>№</t>
  </si>
  <si>
    <t>ФИО</t>
  </si>
  <si>
    <t>Пол</t>
  </si>
  <si>
    <t>Возраст</t>
  </si>
  <si>
    <t>Форма</t>
  </si>
  <si>
    <t>Стадия</t>
  </si>
  <si>
    <t>БП</t>
  </si>
  <si>
    <t>Боброва</t>
  </si>
  <si>
    <t>ж</t>
  </si>
  <si>
    <t>смешанная</t>
  </si>
  <si>
    <t>Жданова</t>
  </si>
  <si>
    <t>Березина</t>
  </si>
  <si>
    <t>Данилова</t>
  </si>
  <si>
    <t>Шакирова</t>
  </si>
  <si>
    <t>Капустина</t>
  </si>
  <si>
    <t>Анисимова</t>
  </si>
  <si>
    <t>Шайдуллина</t>
  </si>
  <si>
    <t>Бредихина</t>
  </si>
  <si>
    <t>дрожательная</t>
  </si>
  <si>
    <t>Базилевских</t>
  </si>
  <si>
    <t>Антипин</t>
  </si>
  <si>
    <t>м</t>
  </si>
  <si>
    <t>акинетико-ригидная</t>
  </si>
  <si>
    <t>Григорьева</t>
  </si>
  <si>
    <t>Антонова</t>
  </si>
  <si>
    <t>Колупаева</t>
  </si>
  <si>
    <t>-</t>
  </si>
  <si>
    <t>Дмитриева</t>
  </si>
  <si>
    <t>Зорина</t>
  </si>
  <si>
    <t>Иванов</t>
  </si>
  <si>
    <t>Лучинкина</t>
  </si>
  <si>
    <t>Журанов</t>
  </si>
  <si>
    <t>Лядова</t>
  </si>
  <si>
    <t>Винник</t>
  </si>
  <si>
    <t>Брагин</t>
  </si>
  <si>
    <t>Захарова</t>
  </si>
  <si>
    <t>Кучеренко</t>
  </si>
  <si>
    <t>Злобина</t>
  </si>
  <si>
    <t>Бушков</t>
  </si>
  <si>
    <t>Вахрушева</t>
  </si>
  <si>
    <t>Крылова</t>
  </si>
  <si>
    <t>Андриянова</t>
  </si>
  <si>
    <t>Арутюнян</t>
  </si>
  <si>
    <t>КОНТРОЛЬ (15чел.)</t>
  </si>
  <si>
    <t>Карманова</t>
  </si>
  <si>
    <t>Азиатцева</t>
  </si>
  <si>
    <t>Кудрина</t>
  </si>
  <si>
    <t>Козельская</t>
  </si>
  <si>
    <t>Богатрырева</t>
  </si>
  <si>
    <t>Кутяшев</t>
  </si>
  <si>
    <t>Бортникова</t>
  </si>
  <si>
    <t>Токарев</t>
  </si>
  <si>
    <t>Колчанова</t>
  </si>
  <si>
    <t>Янова</t>
  </si>
  <si>
    <t>Шайхнурова</t>
  </si>
  <si>
    <t>Юнусов</t>
  </si>
  <si>
    <t>Мадейра</t>
  </si>
  <si>
    <t>Хакимов</t>
  </si>
  <si>
    <t>Розенфельд</t>
  </si>
  <si>
    <t>Щербаков</t>
  </si>
  <si>
    <t>Трусова</t>
  </si>
  <si>
    <t>Чигвинцев</t>
  </si>
  <si>
    <t>Лобыгин</t>
  </si>
  <si>
    <t>Холмогорова</t>
  </si>
  <si>
    <t>Дулин</t>
  </si>
  <si>
    <t>Степанов</t>
  </si>
  <si>
    <t>Власов</t>
  </si>
  <si>
    <t>Перевозчикова</t>
  </si>
  <si>
    <t>Дулина</t>
  </si>
  <si>
    <t>Сорокина</t>
  </si>
  <si>
    <t>Мещанова</t>
  </si>
  <si>
    <t>Волкова</t>
  </si>
  <si>
    <t>Широбокова</t>
  </si>
  <si>
    <t>Савотченко</t>
  </si>
  <si>
    <t>Хабибуллина</t>
  </si>
  <si>
    <t>Шабалина</t>
  </si>
  <si>
    <t>РАННЯЯ</t>
  </si>
  <si>
    <t xml:space="preserve">№ </t>
  </si>
  <si>
    <t xml:space="preserve">Фамилия </t>
  </si>
  <si>
    <t xml:space="preserve">Возраст </t>
  </si>
  <si>
    <t xml:space="preserve">Форма </t>
  </si>
  <si>
    <t xml:space="preserve">Стадия </t>
  </si>
  <si>
    <t>ПОЗДНЯЯ</t>
  </si>
  <si>
    <t>Борисова</t>
  </si>
  <si>
    <t>Городилов</t>
  </si>
  <si>
    <t xml:space="preserve">Злобина </t>
  </si>
  <si>
    <t xml:space="preserve">Волкова </t>
  </si>
  <si>
    <t>Науменко</t>
  </si>
  <si>
    <t>акинетико- ригидная</t>
  </si>
  <si>
    <t>ПОЛ в плазме</t>
  </si>
  <si>
    <t>ПОЛ в мембр. Эритроцитов</t>
  </si>
  <si>
    <t>Лактат</t>
  </si>
  <si>
    <t>Глюкоза</t>
  </si>
  <si>
    <t>Общий белок</t>
  </si>
  <si>
    <t>Мочевина</t>
  </si>
  <si>
    <t>Кортизол</t>
  </si>
  <si>
    <t>Зонулин</t>
  </si>
  <si>
    <t>Холестерин</t>
  </si>
  <si>
    <t>ЭХ</t>
  </si>
  <si>
    <t>ТГ</t>
  </si>
  <si>
    <t>НеЖК</t>
  </si>
  <si>
    <t>ХЛ</t>
  </si>
  <si>
    <t>ФЛ</t>
  </si>
  <si>
    <t>СХ</t>
  </si>
  <si>
    <t>ЭХС</t>
  </si>
  <si>
    <t>НЭЖК</t>
  </si>
  <si>
    <t>ТРЕМОР</t>
  </si>
  <si>
    <t>КОНТРОЛЬ</t>
  </si>
  <si>
    <t>Немо</t>
  </si>
  <si>
    <t>Жуланов</t>
  </si>
  <si>
    <t>ЭсХ</t>
  </si>
  <si>
    <t>СЖК</t>
  </si>
  <si>
    <t>Тремор</t>
  </si>
  <si>
    <t>Здоровые</t>
  </si>
  <si>
    <t>тремор</t>
  </si>
  <si>
    <t>здоровые</t>
  </si>
  <si>
    <t>Статус заболевания</t>
  </si>
  <si>
    <t>Информация</t>
  </si>
  <si>
    <t xml:space="preserve">больные </t>
  </si>
  <si>
    <t>больные не понятные</t>
  </si>
  <si>
    <t>здоров</t>
  </si>
  <si>
    <t>ранняя</t>
  </si>
  <si>
    <t>поздняя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</si>
</sst>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0"/>
    <numFmt numFmtId="166" formatCode="0.000000"/>
    <numFmt numFmtId="167" formatCode="0.00000"/>
    <numFmt numFmtId="168" formatCode="0.00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Calibri"/>
    </font>
    <font>
      <sz val="10"/>
      <color rgb="FF000000"/>
      <name val="Arial"/>
    </font>
    <font>
      <sz val="10"/>
      <color rgb="FFC00000"/>
      <name val="Arial"/>
    </font>
    <font>
      <sz val="10"/>
      <color theme="1"/>
      <name val="Arial"/>
    </font>
    <font>
      <b/>
      <sz val="10"/>
      <color rgb="FFC00000"/>
      <name val="Arial"/>
    </font>
    <font>
      <sz val="11"/>
      <color rgb="FF3266D5"/>
      <name val="Inconsolata"/>
    </font>
    <font>
      <b/>
      <sz val="12"/>
      <color theme="1"/>
      <name val="Calibri"/>
    </font>
    <font>
      <sz val="11"/>
      <color rgb="FFFF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8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top"/>
    </xf>
    <xf numFmtId="0" fontId="3" fillId="0" borderId="0" xfId="0" applyFont="1" applyAlignment="1"/>
    <xf numFmtId="1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7" fontId="7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/>
    </xf>
    <xf numFmtId="168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3" fillId="0" borderId="0" xfId="0" applyFont="1" applyAlignme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horizontal="left"/>
    </xf>
    <xf numFmtId="0" fontId="3" fillId="0" borderId="0" xfId="0" applyFont="1" applyAlignment="1">
      <alignment wrapText="1"/>
    </xf>
    <xf numFmtId="1" fontId="3" fillId="0" borderId="0" xfId="0" applyNumberFormat="1" applyFont="1"/>
    <xf numFmtId="164" fontId="0" fillId="0" borderId="0" xfId="0" applyNumberFormat="1"/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7" fillId="0" borderId="0" xfId="0" applyNumberFormat="1" applyFont="1" applyAlignment="1">
      <alignment horizontal="right" vertical="center"/>
    </xf>
    <xf numFmtId="9" fontId="14" fillId="0" borderId="0" xfId="1" applyFont="1" applyAlignment="1">
      <alignment horizontal="right" vertical="center"/>
    </xf>
    <xf numFmtId="2" fontId="3" fillId="0" borderId="0" xfId="1" applyNumberFormat="1" applyFont="1" applyAlignment="1">
      <alignment horizontal="right"/>
    </xf>
    <xf numFmtId="0" fontId="2" fillId="0" borderId="0" xfId="0" applyFont="1" applyAlignment="1"/>
    <xf numFmtId="2" fontId="7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0" borderId="0" xfId="0" applyFont="1" applyFill="1"/>
    <xf numFmtId="0" fontId="0" fillId="0" borderId="0" xfId="0" applyFill="1"/>
    <xf numFmtId="0" fontId="4" fillId="0" borderId="0" xfId="0" applyFont="1" applyFill="1" applyAlignment="1"/>
    <xf numFmtId="2" fontId="0" fillId="0" borderId="0" xfId="0" applyNumberFormat="1" applyFill="1"/>
    <xf numFmtId="166" fontId="3" fillId="0" borderId="0" xfId="0" applyNumberFormat="1" applyFont="1" applyFill="1" applyAlignment="1">
      <alignment horizontal="right"/>
    </xf>
    <xf numFmtId="1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6" fillId="0" borderId="0" xfId="0" applyFont="1" applyFill="1" applyAlignment="1">
      <alignment horizontal="center"/>
    </xf>
    <xf numFmtId="0" fontId="3" fillId="0" borderId="0" xfId="0" applyFont="1" applyFill="1" applyAlignment="1"/>
    <xf numFmtId="164" fontId="0" fillId="0" borderId="0" xfId="0" applyNumberFormat="1" applyFill="1"/>
    <xf numFmtId="166" fontId="7" fillId="0" borderId="0" xfId="0" applyNumberFormat="1" applyFont="1" applyFill="1" applyAlignment="1">
      <alignment horizontal="right" vertical="center"/>
    </xf>
    <xf numFmtId="1" fontId="7" fillId="0" borderId="0" xfId="0" applyNumberFormat="1" applyFont="1" applyFill="1" applyAlignment="1">
      <alignment horizontal="right" vertical="center"/>
    </xf>
    <xf numFmtId="167" fontId="8" fillId="0" borderId="0" xfId="0" applyNumberFormat="1" applyFont="1" applyFill="1" applyAlignment="1">
      <alignment horizontal="right" vertical="center"/>
    </xf>
    <xf numFmtId="1" fontId="8" fillId="0" borderId="0" xfId="0" applyNumberFormat="1" applyFont="1" applyFill="1" applyAlignment="1">
      <alignment horizontal="right" vertical="center"/>
    </xf>
    <xf numFmtId="166" fontId="8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  <xf numFmtId="164" fontId="13" fillId="0" borderId="0" xfId="0" applyNumberFormat="1" applyFont="1" applyFill="1"/>
    <xf numFmtId="168" fontId="7" fillId="0" borderId="0" xfId="0" applyNumberFormat="1" applyFont="1" applyFill="1" applyAlignment="1">
      <alignment horizontal="right" vertical="center"/>
    </xf>
    <xf numFmtId="0" fontId="6" fillId="0" borderId="1" xfId="0" applyFont="1" applyFill="1" applyBorder="1" applyAlignment="1"/>
    <xf numFmtId="0" fontId="4" fillId="0" borderId="0" xfId="0" applyFont="1" applyFill="1"/>
    <xf numFmtId="0" fontId="12" fillId="0" borderId="1" xfId="0" applyFont="1" applyFill="1" applyBorder="1"/>
    <xf numFmtId="1" fontId="3" fillId="0" borderId="0" xfId="0" applyNumberFormat="1" applyFont="1" applyFill="1"/>
    <xf numFmtId="0" fontId="3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00"/>
  <sheetViews>
    <sheetView workbookViewId="0">
      <selection activeCell="J23" sqref="J23:J37"/>
    </sheetView>
  </sheetViews>
  <sheetFormatPr defaultColWidth="14.42578125" defaultRowHeight="15" customHeight="1"/>
  <cols>
    <col min="1" max="1" width="8.7109375" customWidth="1"/>
    <col min="2" max="2" width="14.42578125" customWidth="1"/>
    <col min="3" max="4" width="8.7109375" customWidth="1"/>
    <col min="5" max="5" width="18.7109375" customWidth="1"/>
    <col min="6" max="6" width="8.7109375" customWidth="1"/>
  </cols>
  <sheetData>
    <row r="2" spans="1:14">
      <c r="A2" s="1"/>
      <c r="B2" s="42" t="s">
        <v>0</v>
      </c>
      <c r="C2" s="43"/>
      <c r="D2" s="3"/>
      <c r="E2" s="3"/>
      <c r="F2" s="3"/>
      <c r="I2" s="42" t="s">
        <v>1</v>
      </c>
      <c r="J2" s="43"/>
      <c r="K2" s="3"/>
      <c r="L2" s="3"/>
      <c r="M2" s="3"/>
    </row>
    <row r="3" spans="1:14">
      <c r="A3" s="2" t="s">
        <v>8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33" t="s">
        <v>114</v>
      </c>
      <c r="I3" s="1" t="s">
        <v>2</v>
      </c>
      <c r="J3" s="1" t="s">
        <v>3</v>
      </c>
      <c r="K3" s="1" t="s">
        <v>4</v>
      </c>
      <c r="L3" s="1"/>
      <c r="M3" s="1"/>
      <c r="N3" s="1"/>
    </row>
    <row r="4" spans="1:14">
      <c r="A4" s="1">
        <v>0</v>
      </c>
      <c r="B4" s="1">
        <v>1</v>
      </c>
      <c r="C4" s="1" t="s">
        <v>9</v>
      </c>
      <c r="D4" s="3" t="s">
        <v>10</v>
      </c>
      <c r="E4" s="3">
        <v>62</v>
      </c>
      <c r="F4" s="3" t="s">
        <v>11</v>
      </c>
      <c r="G4" s="3">
        <v>3</v>
      </c>
      <c r="H4">
        <v>2</v>
      </c>
      <c r="J4" s="4" t="s">
        <v>12</v>
      </c>
      <c r="K4" s="4" t="s">
        <v>10</v>
      </c>
    </row>
    <row r="5" spans="1:14">
      <c r="A5" s="1">
        <v>0</v>
      </c>
      <c r="B5" s="1">
        <v>2</v>
      </c>
      <c r="C5" s="1" t="s">
        <v>13</v>
      </c>
      <c r="D5" s="3" t="s">
        <v>10</v>
      </c>
      <c r="E5" s="3">
        <v>70</v>
      </c>
      <c r="F5" s="3" t="s">
        <v>11</v>
      </c>
      <c r="G5" s="3">
        <v>3</v>
      </c>
      <c r="H5">
        <v>2</v>
      </c>
      <c r="J5" s="4" t="s">
        <v>14</v>
      </c>
      <c r="K5" s="4" t="s">
        <v>10</v>
      </c>
    </row>
    <row r="6" spans="1:14">
      <c r="A6" s="1">
        <v>0</v>
      </c>
      <c r="B6" s="1">
        <v>3</v>
      </c>
      <c r="C6" s="1" t="s">
        <v>15</v>
      </c>
      <c r="D6" s="3" t="s">
        <v>10</v>
      </c>
      <c r="E6" s="3">
        <v>67</v>
      </c>
      <c r="F6" s="3" t="s">
        <v>11</v>
      </c>
      <c r="G6" s="3">
        <v>3</v>
      </c>
      <c r="H6">
        <v>2</v>
      </c>
      <c r="I6" s="3">
        <v>36</v>
      </c>
      <c r="J6" s="1" t="s">
        <v>16</v>
      </c>
      <c r="K6" s="4" t="s">
        <v>10</v>
      </c>
    </row>
    <row r="7" spans="1:14">
      <c r="A7" s="1">
        <v>0</v>
      </c>
      <c r="B7" s="1">
        <v>4</v>
      </c>
      <c r="C7" s="1" t="s">
        <v>17</v>
      </c>
      <c r="D7" s="3" t="s">
        <v>10</v>
      </c>
      <c r="E7" s="3">
        <v>74</v>
      </c>
      <c r="F7" s="3" t="s">
        <v>11</v>
      </c>
      <c r="G7" s="3">
        <v>3</v>
      </c>
      <c r="H7">
        <v>2</v>
      </c>
      <c r="I7" s="3">
        <v>37</v>
      </c>
      <c r="J7" s="1" t="s">
        <v>18</v>
      </c>
      <c r="K7" s="4" t="s">
        <v>10</v>
      </c>
    </row>
    <row r="8" spans="1:14">
      <c r="A8" s="1">
        <v>0</v>
      </c>
      <c r="B8" s="1">
        <v>5</v>
      </c>
      <c r="C8" s="1" t="s">
        <v>19</v>
      </c>
      <c r="D8" s="3" t="s">
        <v>10</v>
      </c>
      <c r="E8" s="3">
        <v>60</v>
      </c>
      <c r="F8" s="3" t="s">
        <v>20</v>
      </c>
      <c r="G8" s="3">
        <v>3</v>
      </c>
      <c r="H8">
        <v>2</v>
      </c>
      <c r="I8" s="3">
        <v>38</v>
      </c>
      <c r="J8" s="1" t="s">
        <v>21</v>
      </c>
      <c r="K8" s="4" t="s">
        <v>10</v>
      </c>
    </row>
    <row r="9" spans="1:14">
      <c r="A9" s="1">
        <v>0</v>
      </c>
      <c r="B9" s="1">
        <v>6</v>
      </c>
      <c r="C9" s="1" t="s">
        <v>22</v>
      </c>
      <c r="D9" s="3" t="s">
        <v>23</v>
      </c>
      <c r="E9" s="3">
        <v>70</v>
      </c>
      <c r="F9" s="3" t="s">
        <v>24</v>
      </c>
      <c r="G9" s="3">
        <v>3</v>
      </c>
      <c r="H9">
        <v>2</v>
      </c>
      <c r="I9" s="3">
        <v>39</v>
      </c>
      <c r="J9" s="1" t="s">
        <v>25</v>
      </c>
      <c r="K9" s="4" t="s">
        <v>10</v>
      </c>
    </row>
    <row r="10" spans="1:14">
      <c r="A10" s="1">
        <v>0</v>
      </c>
      <c r="B10" s="1">
        <v>7</v>
      </c>
      <c r="C10" s="1" t="s">
        <v>26</v>
      </c>
      <c r="D10" s="3" t="s">
        <v>10</v>
      </c>
      <c r="E10" s="3">
        <v>79</v>
      </c>
      <c r="F10" s="3" t="s">
        <v>11</v>
      </c>
      <c r="G10" s="3">
        <v>3</v>
      </c>
      <c r="H10">
        <v>2</v>
      </c>
      <c r="I10" s="3">
        <v>40</v>
      </c>
      <c r="J10" s="1" t="s">
        <v>27</v>
      </c>
      <c r="K10" s="4" t="s">
        <v>10</v>
      </c>
    </row>
    <row r="11" spans="1:14">
      <c r="A11" s="1">
        <v>0</v>
      </c>
      <c r="B11" s="4">
        <v>8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>
        <v>2</v>
      </c>
      <c r="I11" s="3">
        <v>41</v>
      </c>
      <c r="J11" s="1" t="s">
        <v>29</v>
      </c>
      <c r="K11" s="4" t="s">
        <v>10</v>
      </c>
    </row>
    <row r="12" spans="1:14">
      <c r="A12" s="1">
        <v>0</v>
      </c>
      <c r="B12" s="4">
        <v>9</v>
      </c>
      <c r="C12" s="4" t="s">
        <v>28</v>
      </c>
      <c r="D12" s="4" t="s">
        <v>28</v>
      </c>
      <c r="E12" s="4" t="s">
        <v>28</v>
      </c>
      <c r="F12" s="4" t="s">
        <v>28</v>
      </c>
      <c r="G12" s="4" t="s">
        <v>28</v>
      </c>
      <c r="H12">
        <v>2</v>
      </c>
      <c r="I12" s="3">
        <v>42</v>
      </c>
      <c r="J12" s="1" t="s">
        <v>30</v>
      </c>
      <c r="K12" s="4" t="s">
        <v>10</v>
      </c>
    </row>
    <row r="13" spans="1:14">
      <c r="A13" s="1">
        <v>0</v>
      </c>
      <c r="B13" s="1">
        <v>10</v>
      </c>
      <c r="C13" s="1" t="s">
        <v>31</v>
      </c>
      <c r="D13" s="3" t="s">
        <v>23</v>
      </c>
      <c r="E13" s="3">
        <v>66</v>
      </c>
      <c r="F13" s="3" t="s">
        <v>11</v>
      </c>
      <c r="G13" s="3">
        <v>3</v>
      </c>
      <c r="H13">
        <v>2</v>
      </c>
      <c r="I13" s="3">
        <v>43</v>
      </c>
      <c r="J13" s="1" t="s">
        <v>32</v>
      </c>
      <c r="K13" s="4" t="s">
        <v>10</v>
      </c>
    </row>
    <row r="14" spans="1:14">
      <c r="A14" s="1">
        <v>0</v>
      </c>
      <c r="B14" s="1">
        <v>11</v>
      </c>
      <c r="C14" s="1" t="s">
        <v>33</v>
      </c>
      <c r="D14" s="3" t="s">
        <v>23</v>
      </c>
      <c r="E14" s="3">
        <v>54</v>
      </c>
      <c r="F14" s="3" t="s">
        <v>24</v>
      </c>
      <c r="G14" s="3">
        <v>3</v>
      </c>
      <c r="H14">
        <v>2</v>
      </c>
      <c r="I14" s="3">
        <v>44</v>
      </c>
      <c r="J14" s="1" t="s">
        <v>34</v>
      </c>
      <c r="K14" s="4" t="s">
        <v>10</v>
      </c>
    </row>
    <row r="15" spans="1:14">
      <c r="A15" s="1">
        <v>0</v>
      </c>
      <c r="B15" s="1">
        <v>12</v>
      </c>
      <c r="C15" s="1" t="s">
        <v>35</v>
      </c>
      <c r="D15" s="3" t="s">
        <v>10</v>
      </c>
      <c r="E15" s="3">
        <v>61</v>
      </c>
      <c r="F15" s="3" t="s">
        <v>11</v>
      </c>
      <c r="G15" s="3">
        <v>3</v>
      </c>
      <c r="H15">
        <v>2</v>
      </c>
      <c r="J15" s="4" t="s">
        <v>36</v>
      </c>
      <c r="K15" s="4" t="s">
        <v>23</v>
      </c>
    </row>
    <row r="16" spans="1:14">
      <c r="A16" s="1">
        <v>0</v>
      </c>
      <c r="B16" s="1">
        <v>13</v>
      </c>
      <c r="C16" s="1" t="s">
        <v>37</v>
      </c>
      <c r="D16" s="3" t="s">
        <v>10</v>
      </c>
      <c r="E16" s="3">
        <v>73</v>
      </c>
      <c r="F16" s="3" t="s">
        <v>11</v>
      </c>
      <c r="G16" s="3">
        <v>3</v>
      </c>
      <c r="H16">
        <v>2</v>
      </c>
      <c r="J16" s="4" t="s">
        <v>38</v>
      </c>
      <c r="K16" s="4" t="s">
        <v>10</v>
      </c>
    </row>
    <row r="17" spans="1:12">
      <c r="A17" s="1">
        <v>0</v>
      </c>
      <c r="B17" s="1">
        <v>14</v>
      </c>
      <c r="C17" s="1" t="s">
        <v>39</v>
      </c>
      <c r="D17" s="3" t="s">
        <v>10</v>
      </c>
      <c r="E17" s="3">
        <v>66</v>
      </c>
      <c r="F17" s="3" t="s">
        <v>11</v>
      </c>
      <c r="G17" s="3">
        <v>3</v>
      </c>
      <c r="H17">
        <v>2</v>
      </c>
      <c r="J17" s="4" t="s">
        <v>40</v>
      </c>
      <c r="K17" s="4" t="s">
        <v>23</v>
      </c>
    </row>
    <row r="18" spans="1:12">
      <c r="A18" s="1">
        <v>0</v>
      </c>
      <c r="B18" s="4">
        <v>15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>
        <v>2</v>
      </c>
      <c r="J18" s="4" t="s">
        <v>41</v>
      </c>
      <c r="K18" s="4" t="s">
        <v>10</v>
      </c>
    </row>
    <row r="19" spans="1:12">
      <c r="A19" s="1">
        <v>0</v>
      </c>
      <c r="B19" s="4">
        <v>16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28</v>
      </c>
      <c r="H19">
        <v>2</v>
      </c>
      <c r="J19" s="4" t="s">
        <v>42</v>
      </c>
      <c r="K19" s="4" t="s">
        <v>10</v>
      </c>
    </row>
    <row r="20" spans="1:12">
      <c r="A20" s="1">
        <v>0</v>
      </c>
      <c r="B20" s="1">
        <v>17</v>
      </c>
      <c r="C20" s="1" t="s">
        <v>43</v>
      </c>
      <c r="D20" s="3" t="s">
        <v>10</v>
      </c>
      <c r="E20" s="3">
        <v>71</v>
      </c>
      <c r="F20" s="3" t="s">
        <v>11</v>
      </c>
      <c r="G20" s="3">
        <v>3</v>
      </c>
    </row>
    <row r="21" spans="1:12" ht="15.75" customHeight="1">
      <c r="A21" s="1">
        <v>0</v>
      </c>
      <c r="B21" s="1">
        <v>18</v>
      </c>
      <c r="C21" s="1" t="s">
        <v>44</v>
      </c>
      <c r="D21" s="3" t="s">
        <v>10</v>
      </c>
      <c r="E21" s="3">
        <v>70</v>
      </c>
      <c r="F21" s="3" t="s">
        <v>20</v>
      </c>
      <c r="G21" s="3">
        <v>2</v>
      </c>
      <c r="I21" s="42" t="s">
        <v>45</v>
      </c>
      <c r="J21" s="43"/>
      <c r="K21" s="3"/>
      <c r="L21" s="3"/>
    </row>
    <row r="22" spans="1:12" ht="15.75" customHeight="1">
      <c r="A22" s="1">
        <v>0</v>
      </c>
      <c r="B22" s="1">
        <v>19</v>
      </c>
      <c r="C22" s="1" t="s">
        <v>46</v>
      </c>
      <c r="D22" s="3" t="s">
        <v>10</v>
      </c>
      <c r="E22" s="3">
        <v>62</v>
      </c>
      <c r="F22" s="3" t="s">
        <v>20</v>
      </c>
      <c r="G22" s="3">
        <v>2</v>
      </c>
      <c r="H22" s="10" t="s">
        <v>115</v>
      </c>
      <c r="I22" s="1" t="s">
        <v>2</v>
      </c>
      <c r="J22" s="1" t="s">
        <v>3</v>
      </c>
      <c r="K22" s="1" t="s">
        <v>4</v>
      </c>
      <c r="L22" s="1"/>
    </row>
    <row r="23" spans="1:12" ht="15.75" customHeight="1">
      <c r="A23" s="1">
        <v>0</v>
      </c>
      <c r="B23" s="1">
        <v>20</v>
      </c>
      <c r="C23" s="1" t="s">
        <v>47</v>
      </c>
      <c r="D23" s="3" t="s">
        <v>10</v>
      </c>
      <c r="E23" s="3">
        <v>65</v>
      </c>
      <c r="F23" s="3" t="s">
        <v>11</v>
      </c>
      <c r="G23" s="3">
        <v>4</v>
      </c>
      <c r="H23">
        <v>1</v>
      </c>
      <c r="J23" s="4" t="s">
        <v>48</v>
      </c>
      <c r="K23" s="4" t="s">
        <v>10</v>
      </c>
    </row>
    <row r="24" spans="1:12" ht="15.75" customHeight="1">
      <c r="A24" s="1">
        <v>0</v>
      </c>
      <c r="B24" s="1">
        <v>21</v>
      </c>
      <c r="C24" s="1" t="s">
        <v>49</v>
      </c>
      <c r="D24" s="3" t="s">
        <v>10</v>
      </c>
      <c r="E24" s="3">
        <v>72</v>
      </c>
      <c r="F24" s="3" t="s">
        <v>11</v>
      </c>
      <c r="G24" s="3">
        <v>3</v>
      </c>
      <c r="H24">
        <v>1</v>
      </c>
      <c r="J24" s="4" t="s">
        <v>50</v>
      </c>
      <c r="K24" s="4" t="s">
        <v>10</v>
      </c>
    </row>
    <row r="25" spans="1:12" ht="15.75" customHeight="1">
      <c r="A25" s="1">
        <v>0</v>
      </c>
      <c r="B25" s="1">
        <v>22</v>
      </c>
      <c r="C25" s="1" t="s">
        <v>51</v>
      </c>
      <c r="D25" s="3" t="s">
        <v>23</v>
      </c>
      <c r="E25" s="3">
        <v>72</v>
      </c>
      <c r="F25" s="3" t="s">
        <v>20</v>
      </c>
      <c r="G25" s="3">
        <v>2</v>
      </c>
      <c r="H25">
        <v>1</v>
      </c>
      <c r="J25" s="4" t="s">
        <v>52</v>
      </c>
      <c r="K25" s="4" t="s">
        <v>10</v>
      </c>
    </row>
    <row r="26" spans="1:12" ht="15.75" customHeight="1">
      <c r="A26" s="1">
        <v>0</v>
      </c>
      <c r="B26" s="1">
        <v>23</v>
      </c>
      <c r="C26" s="1" t="s">
        <v>53</v>
      </c>
      <c r="D26" s="3" t="s">
        <v>23</v>
      </c>
      <c r="E26" s="3">
        <v>68</v>
      </c>
      <c r="F26" s="3" t="s">
        <v>11</v>
      </c>
      <c r="G26" s="3">
        <v>4</v>
      </c>
      <c r="H26">
        <v>1</v>
      </c>
      <c r="J26" s="4" t="s">
        <v>54</v>
      </c>
      <c r="K26" s="4" t="s">
        <v>10</v>
      </c>
    </row>
    <row r="27" spans="1:12" ht="15.75" customHeight="1">
      <c r="A27" s="1">
        <v>0</v>
      </c>
      <c r="B27" s="1">
        <v>24</v>
      </c>
      <c r="C27" s="1" t="s">
        <v>55</v>
      </c>
      <c r="D27" s="3" t="s">
        <v>10</v>
      </c>
      <c r="E27" s="3">
        <v>70</v>
      </c>
      <c r="F27" s="3" t="s">
        <v>11</v>
      </c>
      <c r="G27" s="3">
        <v>3</v>
      </c>
      <c r="H27">
        <v>1</v>
      </c>
      <c r="J27" s="4" t="s">
        <v>56</v>
      </c>
      <c r="K27" s="4" t="s">
        <v>10</v>
      </c>
    </row>
    <row r="28" spans="1:12" ht="15.75" customHeight="1">
      <c r="A28" s="1">
        <v>0</v>
      </c>
      <c r="B28" s="1">
        <v>25</v>
      </c>
      <c r="C28" s="1" t="s">
        <v>57</v>
      </c>
      <c r="D28" s="3" t="s">
        <v>23</v>
      </c>
      <c r="E28" s="3">
        <v>79</v>
      </c>
      <c r="F28" s="3" t="s">
        <v>20</v>
      </c>
      <c r="G28" s="3">
        <v>2</v>
      </c>
      <c r="H28">
        <v>1</v>
      </c>
      <c r="J28" s="4" t="s">
        <v>58</v>
      </c>
      <c r="K28" s="4" t="s">
        <v>10</v>
      </c>
    </row>
    <row r="29" spans="1:12" ht="15.75" customHeight="1">
      <c r="A29" s="1">
        <v>0</v>
      </c>
      <c r="B29" s="1">
        <v>26</v>
      </c>
      <c r="C29" s="1" t="s">
        <v>59</v>
      </c>
      <c r="D29" s="3" t="s">
        <v>23</v>
      </c>
      <c r="E29" s="3">
        <v>63</v>
      </c>
      <c r="F29" s="3" t="s">
        <v>11</v>
      </c>
      <c r="G29" s="3">
        <v>3</v>
      </c>
      <c r="H29">
        <v>1</v>
      </c>
      <c r="J29" s="4" t="s">
        <v>60</v>
      </c>
      <c r="K29" s="4" t="s">
        <v>10</v>
      </c>
    </row>
    <row r="30" spans="1:12" ht="15.75" customHeight="1">
      <c r="A30" s="1">
        <v>0</v>
      </c>
      <c r="B30" s="1">
        <v>27</v>
      </c>
      <c r="C30" s="1" t="s">
        <v>61</v>
      </c>
      <c r="D30" s="3" t="s">
        <v>23</v>
      </c>
      <c r="E30" s="3">
        <v>62</v>
      </c>
      <c r="F30" s="3" t="s">
        <v>11</v>
      </c>
      <c r="G30" s="3">
        <v>2</v>
      </c>
      <c r="H30">
        <v>1</v>
      </c>
      <c r="J30" s="4" t="s">
        <v>62</v>
      </c>
      <c r="K30" s="4" t="s">
        <v>10</v>
      </c>
    </row>
    <row r="31" spans="1:12" ht="15.75" customHeight="1">
      <c r="A31" s="1">
        <v>0</v>
      </c>
      <c r="B31" s="1">
        <v>28</v>
      </c>
      <c r="C31" s="1" t="s">
        <v>63</v>
      </c>
      <c r="D31" s="3" t="s">
        <v>23</v>
      </c>
      <c r="E31" s="3">
        <v>56</v>
      </c>
      <c r="F31" s="3" t="s">
        <v>11</v>
      </c>
      <c r="G31" s="3">
        <v>3</v>
      </c>
      <c r="H31">
        <v>1</v>
      </c>
      <c r="J31" s="4" t="s">
        <v>64</v>
      </c>
      <c r="K31" s="4" t="s">
        <v>23</v>
      </c>
    </row>
    <row r="32" spans="1:12" ht="15.75" customHeight="1">
      <c r="A32" s="1">
        <v>0</v>
      </c>
      <c r="B32" s="1">
        <v>29</v>
      </c>
      <c r="C32" s="1" t="s">
        <v>65</v>
      </c>
      <c r="D32" s="3" t="s">
        <v>10</v>
      </c>
      <c r="E32" s="3">
        <v>70</v>
      </c>
      <c r="F32" s="3" t="s">
        <v>11</v>
      </c>
      <c r="G32" s="3">
        <v>2</v>
      </c>
      <c r="H32">
        <v>1</v>
      </c>
      <c r="J32" s="4" t="s">
        <v>66</v>
      </c>
      <c r="K32" s="4" t="s">
        <v>23</v>
      </c>
    </row>
    <row r="33" spans="1:11" ht="15.75" customHeight="1">
      <c r="A33" s="1">
        <v>0</v>
      </c>
      <c r="B33" s="1">
        <v>30</v>
      </c>
      <c r="C33" s="1" t="s">
        <v>67</v>
      </c>
      <c r="D33" s="3" t="s">
        <v>23</v>
      </c>
      <c r="E33" s="3">
        <v>63</v>
      </c>
      <c r="F33" s="3" t="s">
        <v>24</v>
      </c>
      <c r="G33" s="3">
        <v>2</v>
      </c>
      <c r="H33">
        <v>1</v>
      </c>
      <c r="J33" s="4" t="s">
        <v>68</v>
      </c>
      <c r="K33" s="4" t="s">
        <v>23</v>
      </c>
    </row>
    <row r="34" spans="1:11" ht="15.75" customHeight="1">
      <c r="A34" s="1">
        <v>0</v>
      </c>
      <c r="B34" s="1">
        <v>31</v>
      </c>
      <c r="C34" s="1" t="s">
        <v>69</v>
      </c>
      <c r="D34" s="3" t="s">
        <v>10</v>
      </c>
      <c r="E34" s="3">
        <v>66</v>
      </c>
      <c r="F34" s="3" t="s">
        <v>11</v>
      </c>
      <c r="G34" s="3">
        <v>3</v>
      </c>
      <c r="H34">
        <v>1</v>
      </c>
      <c r="J34" s="4" t="s">
        <v>70</v>
      </c>
      <c r="K34" s="4" t="s">
        <v>10</v>
      </c>
    </row>
    <row r="35" spans="1:11" ht="15.75" customHeight="1">
      <c r="A35" s="1">
        <v>0</v>
      </c>
      <c r="B35" s="1">
        <v>32</v>
      </c>
      <c r="C35" s="1" t="s">
        <v>71</v>
      </c>
      <c r="D35" s="3" t="s">
        <v>10</v>
      </c>
      <c r="E35" s="3">
        <v>66</v>
      </c>
      <c r="F35" s="3" t="s">
        <v>11</v>
      </c>
      <c r="G35" s="3">
        <v>3</v>
      </c>
      <c r="H35">
        <v>1</v>
      </c>
      <c r="J35" s="4" t="s">
        <v>72</v>
      </c>
      <c r="K35" s="4" t="s">
        <v>10</v>
      </c>
    </row>
    <row r="36" spans="1:11" ht="15.75" customHeight="1">
      <c r="A36" s="1">
        <v>0</v>
      </c>
      <c r="B36" s="1">
        <v>33</v>
      </c>
      <c r="C36" s="1" t="s">
        <v>73</v>
      </c>
      <c r="D36" s="3" t="s">
        <v>10</v>
      </c>
      <c r="E36" s="3">
        <v>71</v>
      </c>
      <c r="F36" s="3" t="s">
        <v>11</v>
      </c>
      <c r="G36" s="3">
        <v>3</v>
      </c>
      <c r="H36">
        <v>1</v>
      </c>
      <c r="J36" s="4" t="s">
        <v>74</v>
      </c>
      <c r="K36" s="4" t="s">
        <v>10</v>
      </c>
    </row>
    <row r="37" spans="1:11" ht="15.75" customHeight="1">
      <c r="A37" s="1">
        <v>0</v>
      </c>
      <c r="B37" s="1">
        <v>34</v>
      </c>
      <c r="C37" s="1" t="s">
        <v>75</v>
      </c>
      <c r="D37" s="3" t="s">
        <v>10</v>
      </c>
      <c r="E37" s="3">
        <v>64</v>
      </c>
      <c r="F37" s="3" t="s">
        <v>11</v>
      </c>
      <c r="G37" s="3">
        <v>3</v>
      </c>
      <c r="H37">
        <v>1</v>
      </c>
      <c r="J37" s="4" t="s">
        <v>76</v>
      </c>
      <c r="K37" s="4" t="s">
        <v>10</v>
      </c>
    </row>
    <row r="38" spans="1:11" ht="15.75" customHeight="1">
      <c r="A38" s="1">
        <v>0</v>
      </c>
      <c r="B38" s="1">
        <v>35</v>
      </c>
      <c r="C38" s="1" t="s">
        <v>77</v>
      </c>
      <c r="D38" s="3" t="s">
        <v>10</v>
      </c>
      <c r="E38" s="3">
        <v>72</v>
      </c>
      <c r="F38" s="3" t="s">
        <v>24</v>
      </c>
      <c r="G38" s="3">
        <v>4</v>
      </c>
    </row>
    <row r="39" spans="1:11" ht="15.75" customHeight="1">
      <c r="A39" s="1"/>
      <c r="B39" s="1"/>
    </row>
    <row r="40" spans="1:11" ht="15.75" customHeight="1">
      <c r="A40" s="1"/>
      <c r="B40" s="1"/>
    </row>
    <row r="41" spans="1:11" ht="15.75" customHeight="1">
      <c r="A41" s="1"/>
      <c r="B41" s="5"/>
      <c r="C41" s="6" t="s">
        <v>78</v>
      </c>
      <c r="D41" s="7"/>
      <c r="E41" s="7"/>
      <c r="F41" s="7"/>
      <c r="G41" s="7"/>
    </row>
    <row r="42" spans="1:11" ht="15.75" customHeight="1">
      <c r="A42" s="1">
        <v>0</v>
      </c>
      <c r="B42" s="8" t="s">
        <v>79</v>
      </c>
      <c r="C42" s="6" t="s">
        <v>80</v>
      </c>
      <c r="D42" s="6" t="s">
        <v>4</v>
      </c>
      <c r="E42" s="6" t="s">
        <v>81</v>
      </c>
      <c r="F42" s="6" t="s">
        <v>82</v>
      </c>
      <c r="G42" s="6" t="s">
        <v>83</v>
      </c>
    </row>
    <row r="43" spans="1:11" ht="15.75" customHeight="1">
      <c r="A43" s="1">
        <v>0</v>
      </c>
      <c r="B43" s="9">
        <v>18</v>
      </c>
      <c r="C43" s="10" t="s">
        <v>44</v>
      </c>
      <c r="D43" s="10" t="s">
        <v>10</v>
      </c>
      <c r="E43" s="10">
        <v>70</v>
      </c>
      <c r="F43" s="10" t="s">
        <v>20</v>
      </c>
      <c r="G43" s="10">
        <v>2</v>
      </c>
    </row>
    <row r="44" spans="1:11" ht="15.75" customHeight="1">
      <c r="A44" s="1">
        <v>0</v>
      </c>
      <c r="B44" s="9">
        <v>19</v>
      </c>
      <c r="C44" s="10" t="s">
        <v>46</v>
      </c>
      <c r="D44" s="10" t="s">
        <v>10</v>
      </c>
      <c r="E44" s="10">
        <v>62</v>
      </c>
      <c r="F44" s="10" t="s">
        <v>20</v>
      </c>
      <c r="G44" s="10">
        <v>2</v>
      </c>
    </row>
    <row r="45" spans="1:11" ht="15.75" customHeight="1">
      <c r="A45" s="1">
        <v>0</v>
      </c>
      <c r="B45" s="9">
        <v>22</v>
      </c>
      <c r="C45" s="10" t="s">
        <v>51</v>
      </c>
      <c r="D45" s="10" t="s">
        <v>23</v>
      </c>
      <c r="E45" s="10">
        <v>72</v>
      </c>
      <c r="F45" s="10" t="s">
        <v>20</v>
      </c>
      <c r="G45" s="10">
        <v>2</v>
      </c>
    </row>
    <row r="46" spans="1:11" ht="15.75" customHeight="1">
      <c r="A46" s="1">
        <v>0</v>
      </c>
      <c r="B46" s="9">
        <v>25</v>
      </c>
      <c r="C46" s="10" t="s">
        <v>57</v>
      </c>
      <c r="D46" s="10" t="s">
        <v>23</v>
      </c>
      <c r="E46" s="10">
        <v>79</v>
      </c>
      <c r="F46" s="10" t="s">
        <v>20</v>
      </c>
      <c r="G46" s="10">
        <v>2</v>
      </c>
    </row>
    <row r="47" spans="1:11" ht="15.75" customHeight="1">
      <c r="A47" s="1">
        <v>0</v>
      </c>
      <c r="B47" s="9">
        <v>27</v>
      </c>
      <c r="C47" s="10" t="s">
        <v>61</v>
      </c>
      <c r="D47" s="10" t="s">
        <v>23</v>
      </c>
      <c r="E47" s="10">
        <v>62</v>
      </c>
      <c r="F47" s="10" t="s">
        <v>11</v>
      </c>
      <c r="G47" s="10">
        <v>2</v>
      </c>
    </row>
    <row r="48" spans="1:11" ht="15.75" customHeight="1">
      <c r="A48" s="1">
        <v>0</v>
      </c>
      <c r="B48" s="9">
        <v>29</v>
      </c>
      <c r="C48" s="10" t="s">
        <v>65</v>
      </c>
      <c r="D48" s="10" t="s">
        <v>10</v>
      </c>
      <c r="E48" s="10">
        <v>70</v>
      </c>
      <c r="F48" s="10" t="s">
        <v>11</v>
      </c>
      <c r="G48" s="10">
        <v>2</v>
      </c>
    </row>
    <row r="49" spans="1:7" ht="15.75" customHeight="1">
      <c r="A49" s="1">
        <v>0</v>
      </c>
      <c r="B49" s="9">
        <v>30</v>
      </c>
      <c r="C49" s="10" t="s">
        <v>67</v>
      </c>
      <c r="D49" s="10" t="s">
        <v>23</v>
      </c>
      <c r="E49" s="10">
        <v>63</v>
      </c>
      <c r="F49" s="10" t="s">
        <v>24</v>
      </c>
      <c r="G49" s="10">
        <v>2</v>
      </c>
    </row>
    <row r="50" spans="1:7" ht="15.75" customHeight="1">
      <c r="A50" s="1"/>
      <c r="B50" s="1"/>
    </row>
    <row r="51" spans="1:7" ht="15.75" customHeight="1">
      <c r="A51" s="1"/>
    </row>
    <row r="52" spans="1:7" ht="15.75" customHeight="1">
      <c r="A52" s="1"/>
      <c r="B52" s="7"/>
      <c r="C52" s="6" t="s">
        <v>84</v>
      </c>
      <c r="D52" s="7"/>
      <c r="E52" s="7"/>
      <c r="F52" s="7"/>
      <c r="G52" s="7"/>
    </row>
    <row r="53" spans="1:7" ht="15.75" customHeight="1">
      <c r="A53" s="1">
        <v>0</v>
      </c>
      <c r="B53" s="6" t="s">
        <v>79</v>
      </c>
      <c r="C53" s="6" t="s">
        <v>80</v>
      </c>
      <c r="D53" s="6" t="s">
        <v>4</v>
      </c>
      <c r="E53" s="6" t="s">
        <v>81</v>
      </c>
      <c r="F53" s="6" t="s">
        <v>82</v>
      </c>
      <c r="G53" s="6" t="s">
        <v>83</v>
      </c>
    </row>
    <row r="54" spans="1:7" ht="15.75" customHeight="1">
      <c r="A54" s="1">
        <v>0</v>
      </c>
      <c r="B54" s="10">
        <v>1</v>
      </c>
      <c r="C54" s="10" t="s">
        <v>85</v>
      </c>
      <c r="D54" s="10" t="s">
        <v>10</v>
      </c>
      <c r="E54" s="10">
        <v>62</v>
      </c>
      <c r="F54" s="10" t="s">
        <v>11</v>
      </c>
      <c r="G54" s="10">
        <v>3</v>
      </c>
    </row>
    <row r="55" spans="1:7" ht="15.75" customHeight="1">
      <c r="A55" s="1">
        <v>0</v>
      </c>
      <c r="B55" s="10">
        <v>2</v>
      </c>
      <c r="C55" s="10" t="s">
        <v>13</v>
      </c>
      <c r="D55" s="10" t="s">
        <v>10</v>
      </c>
      <c r="E55" s="10">
        <v>70</v>
      </c>
      <c r="F55" s="10" t="s">
        <v>11</v>
      </c>
      <c r="G55" s="10">
        <v>3</v>
      </c>
    </row>
    <row r="56" spans="1:7" ht="15.75" customHeight="1">
      <c r="A56" s="1">
        <v>0</v>
      </c>
      <c r="B56" s="10">
        <v>3</v>
      </c>
      <c r="C56" s="10" t="s">
        <v>15</v>
      </c>
      <c r="D56" s="10" t="s">
        <v>10</v>
      </c>
      <c r="E56" s="10">
        <v>67</v>
      </c>
      <c r="F56" s="10" t="s">
        <v>11</v>
      </c>
      <c r="G56" s="10">
        <v>3</v>
      </c>
    </row>
    <row r="57" spans="1:7" ht="15.75" customHeight="1">
      <c r="A57" s="1">
        <v>0</v>
      </c>
      <c r="B57" s="10">
        <v>4</v>
      </c>
      <c r="C57" s="10" t="s">
        <v>17</v>
      </c>
      <c r="D57" s="10" t="s">
        <v>10</v>
      </c>
      <c r="E57" s="10">
        <v>74</v>
      </c>
      <c r="F57" s="10" t="s">
        <v>11</v>
      </c>
      <c r="G57" s="10">
        <v>3</v>
      </c>
    </row>
    <row r="58" spans="1:7" ht="15.75" customHeight="1">
      <c r="A58" s="1">
        <v>0</v>
      </c>
      <c r="B58" s="10">
        <v>5</v>
      </c>
      <c r="C58" s="10" t="s">
        <v>19</v>
      </c>
      <c r="D58" s="10" t="s">
        <v>10</v>
      </c>
      <c r="E58" s="10">
        <v>60</v>
      </c>
      <c r="F58" s="10" t="s">
        <v>20</v>
      </c>
      <c r="G58" s="10">
        <v>3</v>
      </c>
    </row>
    <row r="59" spans="1:7" ht="15.75" customHeight="1">
      <c r="A59" s="1">
        <v>0</v>
      </c>
      <c r="B59" s="10">
        <v>6</v>
      </c>
      <c r="C59" s="10" t="s">
        <v>22</v>
      </c>
      <c r="D59" s="10" t="s">
        <v>23</v>
      </c>
      <c r="E59" s="10">
        <v>70</v>
      </c>
      <c r="F59" s="10" t="s">
        <v>24</v>
      </c>
      <c r="G59" s="10">
        <v>3</v>
      </c>
    </row>
    <row r="60" spans="1:7" ht="15.75" customHeight="1">
      <c r="A60" s="1">
        <v>0</v>
      </c>
      <c r="B60" s="10">
        <v>7</v>
      </c>
      <c r="C60" s="10" t="s">
        <v>26</v>
      </c>
      <c r="D60" s="10" t="s">
        <v>10</v>
      </c>
      <c r="E60" s="10">
        <v>79</v>
      </c>
      <c r="F60" s="10" t="s">
        <v>11</v>
      </c>
      <c r="G60" s="10">
        <v>3</v>
      </c>
    </row>
    <row r="61" spans="1:7" ht="15.75" customHeight="1">
      <c r="A61" s="1">
        <v>0</v>
      </c>
      <c r="B61" s="10">
        <v>9</v>
      </c>
      <c r="C61" s="10" t="s">
        <v>86</v>
      </c>
      <c r="D61" s="10" t="s">
        <v>23</v>
      </c>
      <c r="E61" s="10">
        <v>73</v>
      </c>
      <c r="F61" s="10" t="s">
        <v>24</v>
      </c>
      <c r="G61" s="10">
        <v>3</v>
      </c>
    </row>
    <row r="62" spans="1:7" ht="15.75" customHeight="1">
      <c r="A62" s="1">
        <v>0</v>
      </c>
      <c r="B62" s="10">
        <v>10</v>
      </c>
      <c r="C62" s="10" t="s">
        <v>31</v>
      </c>
      <c r="D62" s="10" t="s">
        <v>23</v>
      </c>
      <c r="E62" s="10">
        <v>66</v>
      </c>
      <c r="F62" s="10" t="s">
        <v>11</v>
      </c>
      <c r="G62" s="10">
        <v>3</v>
      </c>
    </row>
    <row r="63" spans="1:7" ht="15.75" customHeight="1">
      <c r="A63" s="1">
        <v>0</v>
      </c>
      <c r="B63" s="10">
        <v>12</v>
      </c>
      <c r="C63" s="10" t="s">
        <v>35</v>
      </c>
      <c r="D63" s="10" t="s">
        <v>10</v>
      </c>
      <c r="E63" s="10">
        <v>0.61</v>
      </c>
      <c r="F63" s="10" t="s">
        <v>11</v>
      </c>
      <c r="G63" s="10">
        <v>3</v>
      </c>
    </row>
    <row r="64" spans="1:7" ht="15.75" customHeight="1">
      <c r="A64" s="1">
        <v>0</v>
      </c>
      <c r="B64" s="10">
        <v>13</v>
      </c>
      <c r="C64" s="10" t="s">
        <v>37</v>
      </c>
      <c r="D64" s="10" t="s">
        <v>10</v>
      </c>
      <c r="E64" s="10">
        <v>73</v>
      </c>
      <c r="F64" s="10" t="s">
        <v>11</v>
      </c>
      <c r="G64" s="10">
        <v>3</v>
      </c>
    </row>
    <row r="65" spans="1:7" ht="15.75" customHeight="1">
      <c r="A65" s="1">
        <v>0</v>
      </c>
      <c r="B65" s="10">
        <v>14</v>
      </c>
      <c r="C65" s="10" t="s">
        <v>87</v>
      </c>
      <c r="D65" s="10" t="s">
        <v>10</v>
      </c>
      <c r="E65" s="10">
        <v>66</v>
      </c>
      <c r="F65" s="10" t="s">
        <v>11</v>
      </c>
      <c r="G65" s="10">
        <v>3</v>
      </c>
    </row>
    <row r="66" spans="1:7" ht="15.75" customHeight="1">
      <c r="A66" s="1">
        <v>0</v>
      </c>
      <c r="B66" s="10">
        <v>17</v>
      </c>
      <c r="C66" s="10" t="s">
        <v>43</v>
      </c>
      <c r="D66" s="10" t="s">
        <v>10</v>
      </c>
      <c r="E66" s="10">
        <v>71</v>
      </c>
      <c r="F66" s="10" t="s">
        <v>11</v>
      </c>
      <c r="G66" s="10">
        <v>3</v>
      </c>
    </row>
    <row r="67" spans="1:7" ht="15.75" customHeight="1">
      <c r="A67" s="1">
        <v>0</v>
      </c>
      <c r="B67" s="10">
        <v>20</v>
      </c>
      <c r="C67" s="10" t="s">
        <v>47</v>
      </c>
      <c r="D67" s="10" t="s">
        <v>10</v>
      </c>
      <c r="E67" s="10">
        <v>65</v>
      </c>
      <c r="F67" s="10" t="s">
        <v>11</v>
      </c>
      <c r="G67" s="10">
        <v>4</v>
      </c>
    </row>
    <row r="68" spans="1:7" ht="15.75" customHeight="1">
      <c r="A68" s="1">
        <v>0</v>
      </c>
      <c r="B68" s="10">
        <v>21</v>
      </c>
      <c r="C68" s="10" t="s">
        <v>49</v>
      </c>
      <c r="D68" s="10" t="s">
        <v>10</v>
      </c>
      <c r="E68" s="10">
        <v>72</v>
      </c>
      <c r="F68" s="10" t="s">
        <v>11</v>
      </c>
      <c r="G68" s="10">
        <v>3</v>
      </c>
    </row>
    <row r="69" spans="1:7" ht="15.75" customHeight="1">
      <c r="A69" s="1">
        <v>0</v>
      </c>
      <c r="B69" s="10">
        <v>23</v>
      </c>
      <c r="C69" s="10" t="s">
        <v>53</v>
      </c>
      <c r="D69" s="10" t="s">
        <v>23</v>
      </c>
      <c r="E69" s="10">
        <v>68</v>
      </c>
      <c r="F69" s="10" t="s">
        <v>11</v>
      </c>
      <c r="G69" s="10">
        <v>4</v>
      </c>
    </row>
    <row r="70" spans="1:7" ht="15.75" customHeight="1">
      <c r="A70" s="1">
        <v>0</v>
      </c>
      <c r="B70" s="10">
        <v>24</v>
      </c>
      <c r="C70" s="10" t="s">
        <v>55</v>
      </c>
      <c r="D70" s="10" t="s">
        <v>10</v>
      </c>
      <c r="E70" s="10">
        <v>70</v>
      </c>
      <c r="F70" s="10" t="s">
        <v>11</v>
      </c>
      <c r="G70" s="10">
        <v>3</v>
      </c>
    </row>
    <row r="71" spans="1:7" ht="15.75" customHeight="1">
      <c r="A71" s="1">
        <v>0</v>
      </c>
      <c r="B71" s="10">
        <v>26</v>
      </c>
      <c r="C71" s="10" t="s">
        <v>59</v>
      </c>
      <c r="D71" s="10" t="s">
        <v>23</v>
      </c>
      <c r="E71" s="10">
        <v>63</v>
      </c>
      <c r="F71" s="10" t="s">
        <v>11</v>
      </c>
      <c r="G71" s="10">
        <v>3</v>
      </c>
    </row>
    <row r="72" spans="1:7" ht="15.75" customHeight="1">
      <c r="A72" s="1">
        <v>0</v>
      </c>
      <c r="B72" s="10">
        <v>28</v>
      </c>
      <c r="C72" s="10" t="s">
        <v>63</v>
      </c>
      <c r="D72" s="10" t="s">
        <v>23</v>
      </c>
      <c r="E72" s="10">
        <v>56</v>
      </c>
      <c r="F72" s="10" t="s">
        <v>11</v>
      </c>
      <c r="G72" s="10">
        <v>3</v>
      </c>
    </row>
    <row r="73" spans="1:7" ht="15.75" customHeight="1">
      <c r="A73" s="1">
        <v>0</v>
      </c>
      <c r="B73" s="10">
        <v>31</v>
      </c>
      <c r="C73" s="10" t="s">
        <v>69</v>
      </c>
      <c r="D73" s="10" t="s">
        <v>10</v>
      </c>
      <c r="E73" s="10">
        <v>66</v>
      </c>
      <c r="F73" s="10" t="s">
        <v>11</v>
      </c>
      <c r="G73" s="10">
        <v>3</v>
      </c>
    </row>
    <row r="74" spans="1:7" ht="15.75" customHeight="1">
      <c r="A74" s="1">
        <v>0</v>
      </c>
      <c r="B74" s="10">
        <v>32</v>
      </c>
      <c r="C74" s="10" t="s">
        <v>71</v>
      </c>
      <c r="D74" s="10" t="s">
        <v>10</v>
      </c>
      <c r="E74" s="10">
        <v>66</v>
      </c>
      <c r="F74" s="10" t="s">
        <v>11</v>
      </c>
      <c r="G74" s="10">
        <v>3</v>
      </c>
    </row>
    <row r="75" spans="1:7" ht="15.75" customHeight="1">
      <c r="A75" s="1">
        <v>0</v>
      </c>
      <c r="B75" s="10">
        <v>33</v>
      </c>
      <c r="C75" s="10" t="s">
        <v>88</v>
      </c>
      <c r="D75" s="10" t="s">
        <v>10</v>
      </c>
      <c r="E75" s="10">
        <v>71</v>
      </c>
      <c r="F75" s="10" t="s">
        <v>11</v>
      </c>
      <c r="G75" s="10">
        <v>3</v>
      </c>
    </row>
    <row r="76" spans="1:7" ht="15.75" customHeight="1">
      <c r="A76" s="1">
        <v>0</v>
      </c>
      <c r="B76" s="10">
        <v>34</v>
      </c>
      <c r="C76" s="10" t="s">
        <v>75</v>
      </c>
      <c r="D76" s="10" t="s">
        <v>10</v>
      </c>
      <c r="E76" s="10">
        <v>64</v>
      </c>
      <c r="F76" s="10" t="s">
        <v>11</v>
      </c>
      <c r="G76" s="10">
        <v>3</v>
      </c>
    </row>
    <row r="77" spans="1:7" ht="15.75" customHeight="1">
      <c r="A77" s="1">
        <v>0</v>
      </c>
      <c r="B77" s="10">
        <v>35</v>
      </c>
      <c r="C77" s="10" t="s">
        <v>77</v>
      </c>
      <c r="D77" s="10" t="s">
        <v>10</v>
      </c>
      <c r="E77" s="10">
        <v>72</v>
      </c>
      <c r="F77" s="10" t="s">
        <v>24</v>
      </c>
      <c r="G77" s="10">
        <v>4</v>
      </c>
    </row>
    <row r="78" spans="1:7" ht="15.75" customHeight="1">
      <c r="A78" s="1">
        <v>0</v>
      </c>
      <c r="B78" s="10">
        <v>36</v>
      </c>
      <c r="C78" s="10" t="s">
        <v>89</v>
      </c>
      <c r="D78" s="10" t="s">
        <v>10</v>
      </c>
      <c r="E78" s="10">
        <v>80</v>
      </c>
      <c r="F78" s="10" t="s">
        <v>90</v>
      </c>
      <c r="G78" s="10">
        <v>4</v>
      </c>
    </row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67"/>
  <sheetViews>
    <sheetView tabSelected="1" zoomScale="85" zoomScaleNormal="85" workbookViewId="0">
      <selection activeCell="O9" sqref="O9"/>
    </sheetView>
  </sheetViews>
  <sheetFormatPr defaultColWidth="14.42578125" defaultRowHeight="15" customHeight="1"/>
  <cols>
    <col min="1" max="2" width="14.42578125" customWidth="1"/>
    <col min="3" max="3" width="25" customWidth="1"/>
    <col min="4" max="4" width="14.42578125" customWidth="1"/>
  </cols>
  <sheetData>
    <row r="1" spans="1:12">
      <c r="A1" s="81" t="s">
        <v>3</v>
      </c>
      <c r="B1" s="82" t="s">
        <v>91</v>
      </c>
      <c r="C1" s="82" t="s">
        <v>92</v>
      </c>
      <c r="D1" s="81" t="s">
        <v>93</v>
      </c>
      <c r="E1" s="81" t="s">
        <v>94</v>
      </c>
      <c r="F1" s="81" t="s">
        <v>95</v>
      </c>
      <c r="G1" s="81" t="s">
        <v>96</v>
      </c>
      <c r="H1" s="81" t="s">
        <v>97</v>
      </c>
      <c r="I1" s="81" t="s">
        <v>98</v>
      </c>
      <c r="J1" s="81" t="s">
        <v>99</v>
      </c>
      <c r="K1" s="81" t="s">
        <v>7</v>
      </c>
      <c r="L1" s="81" t="s">
        <v>8</v>
      </c>
    </row>
    <row r="2" spans="1:12">
      <c r="A2" s="81" t="s">
        <v>13</v>
      </c>
      <c r="B2" s="83">
        <v>2.0499999999999998</v>
      </c>
      <c r="C2" s="83">
        <f>(0.11*10^6*4)/(1.56*10^5*0.1)</f>
        <v>28.205128205128204</v>
      </c>
      <c r="D2" s="83">
        <v>7.6</v>
      </c>
      <c r="E2" s="83">
        <v>8</v>
      </c>
      <c r="F2" s="83">
        <v>41.5</v>
      </c>
      <c r="G2" s="83">
        <v>15.26</v>
      </c>
      <c r="H2" s="83">
        <v>361.28</v>
      </c>
      <c r="I2" s="83">
        <v>0.37071428571428577</v>
      </c>
      <c r="J2" s="83">
        <v>4.9000000000000004</v>
      </c>
      <c r="K2" s="77" t="s">
        <v>120</v>
      </c>
      <c r="L2" s="85">
        <v>0</v>
      </c>
    </row>
    <row r="3" spans="1:12">
      <c r="A3" s="81" t="s">
        <v>15</v>
      </c>
      <c r="B3" s="83">
        <v>3.58</v>
      </c>
      <c r="C3" s="83">
        <f t="shared" ref="C3:C5" si="0">(0.1*10^6*4)/(1.56*10^5*0.1)</f>
        <v>25.641025641025642</v>
      </c>
      <c r="D3" s="83">
        <v>7.6</v>
      </c>
      <c r="E3" s="83">
        <v>4.7</v>
      </c>
      <c r="F3" s="83">
        <v>65</v>
      </c>
      <c r="G3" s="83">
        <v>10.9</v>
      </c>
      <c r="H3" s="83">
        <v>404.13</v>
      </c>
      <c r="I3" s="83">
        <v>0.37071428571428577</v>
      </c>
      <c r="J3" s="83">
        <v>2</v>
      </c>
      <c r="K3" s="77" t="s">
        <v>120</v>
      </c>
      <c r="L3" s="85">
        <v>0</v>
      </c>
    </row>
    <row r="4" spans="1:12">
      <c r="A4" s="81" t="s">
        <v>17</v>
      </c>
      <c r="B4" s="83">
        <v>1.03</v>
      </c>
      <c r="C4" s="83">
        <f t="shared" si="0"/>
        <v>25.641025641025642</v>
      </c>
      <c r="D4" s="83">
        <v>5.2</v>
      </c>
      <c r="E4" s="83">
        <v>6</v>
      </c>
      <c r="F4" s="83">
        <v>44.1</v>
      </c>
      <c r="G4" s="83">
        <v>10.9</v>
      </c>
      <c r="H4" s="83">
        <v>235.23</v>
      </c>
      <c r="I4" s="83">
        <v>0.62200000000000011</v>
      </c>
      <c r="J4" s="83">
        <v>4.4000000000000004</v>
      </c>
      <c r="K4" s="77" t="s">
        <v>120</v>
      </c>
      <c r="L4" s="85">
        <v>0</v>
      </c>
    </row>
    <row r="5" spans="1:12">
      <c r="A5" s="81" t="s">
        <v>19</v>
      </c>
      <c r="B5" s="83">
        <v>2.0499999999999998</v>
      </c>
      <c r="C5" s="83">
        <f t="shared" si="0"/>
        <v>25.641025641025642</v>
      </c>
      <c r="D5" s="83">
        <v>8.4</v>
      </c>
      <c r="E5" s="83">
        <v>12.7</v>
      </c>
      <c r="F5" s="83">
        <v>52</v>
      </c>
      <c r="G5" s="83">
        <v>11.5</v>
      </c>
      <c r="H5" s="83">
        <v>472.4</v>
      </c>
      <c r="I5" s="83">
        <v>0.51400000000000001</v>
      </c>
      <c r="J5" s="83">
        <v>3.2</v>
      </c>
      <c r="K5" s="77" t="s">
        <v>120</v>
      </c>
      <c r="L5" s="85">
        <v>0</v>
      </c>
    </row>
    <row r="6" spans="1:12">
      <c r="A6" s="81" t="s">
        <v>22</v>
      </c>
      <c r="B6" s="83">
        <v>1.53</v>
      </c>
      <c r="C6" s="83">
        <f>(0.14*10^6*4)/(1.56*10^5*0.1)</f>
        <v>35.897435897435898</v>
      </c>
      <c r="D6" s="83">
        <v>8.4</v>
      </c>
      <c r="E6" s="83">
        <v>5.6</v>
      </c>
      <c r="F6" s="83">
        <v>41.5</v>
      </c>
      <c r="G6" s="83">
        <v>8.9</v>
      </c>
      <c r="H6" s="83">
        <v>638.6</v>
      </c>
      <c r="I6" s="83">
        <v>0.32200000000000006</v>
      </c>
      <c r="J6" s="83">
        <v>4.5999999999999996</v>
      </c>
      <c r="K6" s="77" t="s">
        <v>120</v>
      </c>
      <c r="L6" s="85">
        <v>0</v>
      </c>
    </row>
    <row r="7" spans="1:12">
      <c r="A7" s="81" t="s">
        <v>26</v>
      </c>
      <c r="B7" s="83">
        <v>2.56</v>
      </c>
      <c r="C7" s="83">
        <f>(0.13*10^6*4)/(1.56*10^5*0.1)</f>
        <v>33.333333333333336</v>
      </c>
      <c r="D7" s="83">
        <v>6.8</v>
      </c>
      <c r="E7" s="83">
        <v>10.7</v>
      </c>
      <c r="F7" s="83">
        <v>60</v>
      </c>
      <c r="G7" s="83">
        <v>12.2</v>
      </c>
      <c r="H7" s="83">
        <v>384.54</v>
      </c>
      <c r="I7" s="83">
        <v>0.28600000000000003</v>
      </c>
      <c r="J7" s="83">
        <v>4.3</v>
      </c>
      <c r="K7" s="77" t="s">
        <v>120</v>
      </c>
      <c r="L7" s="85">
        <v>0</v>
      </c>
    </row>
    <row r="8" spans="1:12">
      <c r="A8" s="81" t="s">
        <v>31</v>
      </c>
      <c r="B8" s="83">
        <v>4.6100000000000003</v>
      </c>
      <c r="C8" s="83">
        <f>(0.13*10^6*4)/(1.56*10^5*0.1)</f>
        <v>33.333333333333336</v>
      </c>
      <c r="D8" s="83">
        <v>6.8</v>
      </c>
      <c r="E8" s="83">
        <v>10.7</v>
      </c>
      <c r="F8" s="83">
        <v>65</v>
      </c>
      <c r="G8" s="83">
        <v>8.9</v>
      </c>
      <c r="H8" s="83">
        <v>606.14</v>
      </c>
      <c r="I8" s="83">
        <v>0.22800000000000001</v>
      </c>
      <c r="J8" s="83">
        <v>2.9</v>
      </c>
      <c r="K8" s="77" t="s">
        <v>120</v>
      </c>
      <c r="L8" s="85">
        <v>0</v>
      </c>
    </row>
    <row r="9" spans="1:12">
      <c r="A9" s="81" t="s">
        <v>33</v>
      </c>
      <c r="B9" s="83">
        <v>1.03</v>
      </c>
      <c r="C9" s="83">
        <f>(0.095*10^6*4)/(1.56*10^5*0.1)</f>
        <v>24.358974358974358</v>
      </c>
      <c r="D9" s="87">
        <v>6.8</v>
      </c>
      <c r="E9" s="87">
        <v>6</v>
      </c>
      <c r="F9" s="87">
        <v>63</v>
      </c>
      <c r="G9" s="87">
        <v>7.7</v>
      </c>
      <c r="H9" s="87">
        <v>321.27</v>
      </c>
      <c r="I9" s="87">
        <v>0.33900000000000008</v>
      </c>
      <c r="J9" s="87">
        <v>3.8</v>
      </c>
      <c r="K9" s="77" t="s">
        <v>120</v>
      </c>
      <c r="L9" s="85">
        <v>0</v>
      </c>
    </row>
    <row r="10" spans="1:12">
      <c r="A10" s="81" t="s">
        <v>35</v>
      </c>
      <c r="B10" s="83">
        <v>1.53</v>
      </c>
      <c r="C10" s="83">
        <f>(0.15*10^6*4)/(1.56*10^5*0.1)</f>
        <v>38.46153846153846</v>
      </c>
      <c r="D10" s="83">
        <v>6.4</v>
      </c>
      <c r="E10" s="83">
        <v>7.3</v>
      </c>
      <c r="F10" s="83">
        <v>72.599999999999994</v>
      </c>
      <c r="G10" s="83">
        <v>6.4</v>
      </c>
      <c r="H10" s="83">
        <v>474.85</v>
      </c>
      <c r="I10" s="83">
        <v>0.50600000000000001</v>
      </c>
      <c r="J10" s="83">
        <v>4.3</v>
      </c>
      <c r="K10" s="77" t="s">
        <v>120</v>
      </c>
      <c r="L10" s="85">
        <v>0</v>
      </c>
    </row>
    <row r="11" spans="1:12">
      <c r="A11" s="81" t="s">
        <v>37</v>
      </c>
      <c r="B11" s="83">
        <v>1.03</v>
      </c>
      <c r="C11" s="83">
        <f>(0.145*10^6*4)/(1.56*10^5*0.1)</f>
        <v>37.179487179487182</v>
      </c>
      <c r="D11" s="83">
        <v>6</v>
      </c>
      <c r="E11" s="83">
        <v>1.7</v>
      </c>
      <c r="F11" s="83">
        <v>63</v>
      </c>
      <c r="G11" s="83">
        <v>7.7</v>
      </c>
      <c r="H11" s="83">
        <v>184.54</v>
      </c>
      <c r="I11" s="83">
        <v>0.41100000000000003</v>
      </c>
      <c r="J11" s="83">
        <v>3.8</v>
      </c>
      <c r="K11" s="77" t="s">
        <v>120</v>
      </c>
      <c r="L11" s="85">
        <v>0</v>
      </c>
    </row>
    <row r="12" spans="1:12">
      <c r="A12" s="81" t="s">
        <v>39</v>
      </c>
      <c r="B12" s="83">
        <v>1.03</v>
      </c>
      <c r="C12" s="83">
        <f>(0.11*10^6*4)/(1.56*10^5*0.1)</f>
        <v>28.205128205128204</v>
      </c>
      <c r="D12" s="83">
        <v>8</v>
      </c>
      <c r="E12" s="83">
        <v>7.3</v>
      </c>
      <c r="F12" s="83">
        <v>67.400000000000006</v>
      </c>
      <c r="G12" s="83">
        <v>12.2</v>
      </c>
      <c r="H12" s="83">
        <v>321.27</v>
      </c>
      <c r="I12" s="83">
        <v>0.39700000000000002</v>
      </c>
      <c r="J12" s="83">
        <v>3</v>
      </c>
      <c r="K12" s="77" t="s">
        <v>120</v>
      </c>
      <c r="L12" s="85">
        <v>0</v>
      </c>
    </row>
    <row r="13" spans="1:12" ht="15.75" customHeight="1">
      <c r="A13" s="81" t="s">
        <v>43</v>
      </c>
      <c r="B13" s="83">
        <v>1.53</v>
      </c>
      <c r="C13" s="83">
        <f>(0.15*10^6*4)/(1.56*10^5*0.1)</f>
        <v>38.46153846153846</v>
      </c>
      <c r="D13" s="83">
        <v>6.8</v>
      </c>
      <c r="E13" s="83">
        <v>6</v>
      </c>
      <c r="F13" s="83">
        <v>85.6</v>
      </c>
      <c r="G13" s="83">
        <v>7.7</v>
      </c>
      <c r="H13" s="83">
        <v>328.9</v>
      </c>
      <c r="I13" s="83">
        <v>0.37071428571428577</v>
      </c>
      <c r="J13" s="83">
        <v>3</v>
      </c>
      <c r="K13" s="77" t="s">
        <v>120</v>
      </c>
      <c r="L13" s="85">
        <v>0</v>
      </c>
    </row>
    <row r="14" spans="1:12" ht="15.75" customHeight="1">
      <c r="A14" s="81" t="s">
        <v>44</v>
      </c>
      <c r="B14" s="83">
        <v>2.0499999999999998</v>
      </c>
      <c r="C14" s="83">
        <f t="shared" ref="C14:C15" si="1">(0.12*10^6*4)/(1.56*10^5*0.1)</f>
        <v>30.76923076923077</v>
      </c>
      <c r="D14" s="83">
        <v>6.8</v>
      </c>
      <c r="E14" s="83">
        <v>6</v>
      </c>
      <c r="F14" s="83">
        <v>47</v>
      </c>
      <c r="G14" s="83">
        <v>7.7</v>
      </c>
      <c r="H14" s="83">
        <v>314.51</v>
      </c>
      <c r="I14" s="83">
        <v>0.21700000000000003</v>
      </c>
      <c r="J14" s="83">
        <v>5</v>
      </c>
      <c r="K14" s="77" t="s">
        <v>120</v>
      </c>
      <c r="L14" s="85">
        <v>0</v>
      </c>
    </row>
    <row r="15" spans="1:12" ht="15.75" customHeight="1">
      <c r="A15" s="81" t="s">
        <v>46</v>
      </c>
      <c r="B15" s="83">
        <v>3.08</v>
      </c>
      <c r="C15" s="83">
        <f t="shared" si="1"/>
        <v>30.76923076923077</v>
      </c>
      <c r="D15" s="83">
        <v>6</v>
      </c>
      <c r="E15" s="83">
        <v>4.8</v>
      </c>
      <c r="F15" s="83">
        <v>60</v>
      </c>
      <c r="G15" s="83">
        <v>5.6</v>
      </c>
      <c r="H15" s="83">
        <v>435.16</v>
      </c>
      <c r="I15" s="83">
        <v>0.29200000000000004</v>
      </c>
      <c r="J15" s="83">
        <v>5.5</v>
      </c>
      <c r="K15" s="77" t="s">
        <v>120</v>
      </c>
      <c r="L15" s="85">
        <v>0</v>
      </c>
    </row>
    <row r="16" spans="1:12" ht="15.75" customHeight="1">
      <c r="A16" s="81" t="s">
        <v>51</v>
      </c>
      <c r="B16" s="83">
        <v>3.08</v>
      </c>
      <c r="C16" s="83">
        <f>(0.15*10^6*4)/(1.56*10^5*0.1)</f>
        <v>38.46153846153846</v>
      </c>
      <c r="D16" s="83">
        <v>11.6</v>
      </c>
      <c r="E16" s="83">
        <v>6.7</v>
      </c>
      <c r="F16" s="83">
        <v>65</v>
      </c>
      <c r="G16" s="83">
        <v>12.8</v>
      </c>
      <c r="H16" s="83">
        <v>595.91999999999996</v>
      </c>
      <c r="I16" s="83">
        <v>1.044</v>
      </c>
      <c r="J16" s="83">
        <v>4.25</v>
      </c>
      <c r="K16" s="77" t="s">
        <v>120</v>
      </c>
      <c r="L16" s="85">
        <v>0</v>
      </c>
    </row>
    <row r="17" spans="1:21" ht="15.75" customHeight="1">
      <c r="A17" s="81" t="s">
        <v>57</v>
      </c>
      <c r="B17" s="83">
        <v>1.53</v>
      </c>
      <c r="C17" s="83">
        <f t="shared" ref="C17" si="2">(0.13*10^6*4)/(1.56*10^5*0.1)</f>
        <v>33.333333333333336</v>
      </c>
      <c r="D17" s="83">
        <v>10</v>
      </c>
      <c r="E17" s="83">
        <v>6</v>
      </c>
      <c r="F17" s="83">
        <v>65</v>
      </c>
      <c r="G17" s="83">
        <v>8.9</v>
      </c>
      <c r="H17" s="83">
        <v>467.94</v>
      </c>
      <c r="I17" s="83">
        <v>0.25600000000000001</v>
      </c>
      <c r="J17" s="83">
        <v>7.3</v>
      </c>
      <c r="K17" s="77" t="s">
        <v>120</v>
      </c>
      <c r="L17" s="85">
        <v>0</v>
      </c>
    </row>
    <row r="18" spans="1:21" ht="15.75" customHeight="1">
      <c r="A18" s="81" t="s">
        <v>61</v>
      </c>
      <c r="B18" s="83">
        <v>1.53</v>
      </c>
      <c r="C18" s="83">
        <f t="shared" ref="C18" si="3">(0.1*10^6*4)/(1.56*10^5*0.1)</f>
        <v>25.641025641025642</v>
      </c>
      <c r="D18" s="83">
        <v>9.6</v>
      </c>
      <c r="E18" s="83">
        <v>9.3000000000000007</v>
      </c>
      <c r="F18" s="83">
        <v>75.2</v>
      </c>
      <c r="G18" s="83">
        <v>10.9</v>
      </c>
      <c r="H18" s="83">
        <v>222.42</v>
      </c>
      <c r="I18" s="83">
        <v>0.34200000000000003</v>
      </c>
      <c r="J18" s="83">
        <v>3.8</v>
      </c>
      <c r="K18" s="77" t="s">
        <v>120</v>
      </c>
      <c r="L18" s="85">
        <v>0</v>
      </c>
    </row>
    <row r="19" spans="1:21" ht="15.75" customHeight="1">
      <c r="A19" s="81" t="s">
        <v>65</v>
      </c>
      <c r="B19" s="83">
        <v>0.51</v>
      </c>
      <c r="C19" s="83">
        <f>(0.11*10^6*4)/(1.56*10^5*0.1)</f>
        <v>28.205128205128204</v>
      </c>
      <c r="D19" s="83">
        <v>11.2</v>
      </c>
      <c r="E19" s="83">
        <v>8</v>
      </c>
      <c r="F19" s="83">
        <v>62.2</v>
      </c>
      <c r="G19" s="83">
        <v>6.4</v>
      </c>
      <c r="H19" s="83">
        <v>560.9</v>
      </c>
      <c r="I19" s="83">
        <v>0.26100000000000001</v>
      </c>
      <c r="J19" s="83">
        <v>1.5</v>
      </c>
      <c r="K19" s="77" t="s">
        <v>120</v>
      </c>
      <c r="L19" s="85">
        <v>0</v>
      </c>
    </row>
    <row r="20" spans="1:21" ht="15.75" customHeight="1">
      <c r="A20" s="81" t="s">
        <v>67</v>
      </c>
      <c r="B20" s="83">
        <v>1.03</v>
      </c>
      <c r="C20" s="87">
        <v>30.76923076923077</v>
      </c>
      <c r="D20" s="83">
        <v>6</v>
      </c>
      <c r="E20" s="83">
        <v>4.8</v>
      </c>
      <c r="F20" s="83">
        <v>60</v>
      </c>
      <c r="G20" s="83">
        <v>5.6</v>
      </c>
      <c r="H20" s="83">
        <v>435.16</v>
      </c>
      <c r="I20" s="83">
        <v>0.29200000000000004</v>
      </c>
      <c r="J20" s="83">
        <v>5.5</v>
      </c>
      <c r="K20" s="77" t="s">
        <v>120</v>
      </c>
      <c r="L20" s="85">
        <v>0</v>
      </c>
    </row>
    <row r="21" spans="1:21" ht="15.75" customHeight="1">
      <c r="A21" s="81" t="s">
        <v>69</v>
      </c>
      <c r="B21" s="83">
        <v>1.03</v>
      </c>
      <c r="C21" s="83">
        <f>(0.11*10^6*4)/(1.56*10^5*0.1)</f>
        <v>28.205128205128204</v>
      </c>
      <c r="D21" s="83">
        <v>8</v>
      </c>
      <c r="E21" s="83">
        <v>9.3000000000000007</v>
      </c>
      <c r="F21" s="83">
        <v>52</v>
      </c>
      <c r="G21" s="83">
        <v>13.4</v>
      </c>
      <c r="H21" s="83">
        <v>132.71</v>
      </c>
      <c r="I21" s="83">
        <v>0.94200000000000006</v>
      </c>
      <c r="J21" s="83">
        <v>4.5999999999999996</v>
      </c>
      <c r="K21" s="77" t="s">
        <v>120</v>
      </c>
      <c r="L21" s="85">
        <v>0</v>
      </c>
    </row>
    <row r="22" spans="1:21" ht="15.75" customHeight="1">
      <c r="A22" s="81" t="s">
        <v>73</v>
      </c>
      <c r="B22" s="83">
        <v>1.53</v>
      </c>
      <c r="C22" s="83">
        <f t="shared" ref="C22:C23" si="4">(0.1*10^6*4)/(1.56*10^5*0.1)</f>
        <v>25.641025641025642</v>
      </c>
      <c r="D22" s="83">
        <v>6.8</v>
      </c>
      <c r="E22" s="83">
        <v>9.3000000000000007</v>
      </c>
      <c r="F22" s="83">
        <v>60</v>
      </c>
      <c r="G22" s="83">
        <v>14.7</v>
      </c>
      <c r="H22" s="83">
        <v>301.8</v>
      </c>
      <c r="I22" s="83">
        <v>0.28900000000000003</v>
      </c>
      <c r="J22" s="83">
        <v>2</v>
      </c>
      <c r="K22" s="77" t="s">
        <v>120</v>
      </c>
      <c r="L22" s="85">
        <v>0</v>
      </c>
    </row>
    <row r="23" spans="1:21" ht="15.75" customHeight="1">
      <c r="A23" s="81" t="s">
        <v>75</v>
      </c>
      <c r="B23" s="83">
        <v>2.0499999999999998</v>
      </c>
      <c r="C23" s="83">
        <f t="shared" si="4"/>
        <v>25.641025641025642</v>
      </c>
      <c r="D23" s="83">
        <v>5.2</v>
      </c>
      <c r="E23" s="83">
        <v>5.2</v>
      </c>
      <c r="F23" s="83">
        <v>65</v>
      </c>
      <c r="G23" s="83">
        <v>7.7</v>
      </c>
      <c r="H23" s="83">
        <v>280</v>
      </c>
      <c r="I23" s="83">
        <v>0.33900000000000008</v>
      </c>
      <c r="J23" s="83">
        <v>3</v>
      </c>
      <c r="K23" s="77" t="s">
        <v>120</v>
      </c>
      <c r="L23" s="85">
        <v>0</v>
      </c>
    </row>
    <row r="24" spans="1:21" ht="15.75" customHeight="1">
      <c r="A24" s="81" t="s">
        <v>77</v>
      </c>
      <c r="B24" s="83">
        <v>2.0499999999999998</v>
      </c>
      <c r="C24" s="83">
        <f>(0.145*10^6*4)/(1.56*10^5*0.1)</f>
        <v>37.179487179487182</v>
      </c>
      <c r="D24" s="83">
        <v>6</v>
      </c>
      <c r="E24" s="83">
        <v>6</v>
      </c>
      <c r="F24" s="83">
        <v>57</v>
      </c>
      <c r="G24" s="83">
        <v>6.4</v>
      </c>
      <c r="H24" s="83">
        <v>250</v>
      </c>
      <c r="I24" s="83">
        <v>0.24700000000000003</v>
      </c>
      <c r="J24" s="83">
        <v>3</v>
      </c>
      <c r="K24" s="77" t="s">
        <v>120</v>
      </c>
      <c r="L24" s="85">
        <v>0</v>
      </c>
    </row>
    <row r="25" spans="1:21" ht="15.75" customHeight="1">
      <c r="A25" s="81" t="s">
        <v>44</v>
      </c>
      <c r="B25" s="83">
        <v>3.08</v>
      </c>
      <c r="C25" s="83">
        <f>(0.12*10^6*4)/(1.56*10^5*0.1)</f>
        <v>30.76923076923077</v>
      </c>
      <c r="D25" s="83">
        <v>6.8</v>
      </c>
      <c r="E25" s="83">
        <v>6</v>
      </c>
      <c r="F25" s="83">
        <v>47</v>
      </c>
      <c r="G25" s="83">
        <v>7.7</v>
      </c>
      <c r="H25" s="83">
        <v>314.51</v>
      </c>
      <c r="I25" s="83">
        <v>0.21700000000000003</v>
      </c>
      <c r="J25" s="83">
        <v>5</v>
      </c>
      <c r="K25" s="82" t="s">
        <v>123</v>
      </c>
      <c r="L25" s="85">
        <v>0</v>
      </c>
    </row>
    <row r="26" spans="1:21" ht="15.75" customHeight="1">
      <c r="A26" s="81" t="s">
        <v>46</v>
      </c>
      <c r="B26" s="83">
        <v>2.0499999999999998</v>
      </c>
      <c r="C26" s="83">
        <f>(0.11*10^6*4)/(1.56*10^5*0.1)</f>
        <v>28.205128205128204</v>
      </c>
      <c r="D26" s="83">
        <v>6</v>
      </c>
      <c r="E26" s="83">
        <v>4.8</v>
      </c>
      <c r="F26" s="83">
        <v>60</v>
      </c>
      <c r="G26" s="83">
        <v>5.6</v>
      </c>
      <c r="H26" s="83">
        <v>435.16</v>
      </c>
      <c r="I26" s="83">
        <v>0.29200000000000004</v>
      </c>
      <c r="J26" s="83">
        <v>5.5</v>
      </c>
      <c r="K26" s="82" t="s">
        <v>123</v>
      </c>
      <c r="L26" s="85">
        <v>0</v>
      </c>
    </row>
    <row r="27" spans="1:21" ht="15.75" customHeight="1">
      <c r="A27" s="81" t="s">
        <v>51</v>
      </c>
      <c r="B27" s="83">
        <v>2.0499999999999998</v>
      </c>
      <c r="C27" s="83">
        <f>(0.14*10^6*4)/(1.56*10^5*0.1)</f>
        <v>35.897435897435898</v>
      </c>
      <c r="D27" s="83">
        <v>11.6</v>
      </c>
      <c r="E27" s="83">
        <v>6.7</v>
      </c>
      <c r="F27" s="83">
        <v>65</v>
      </c>
      <c r="G27" s="83">
        <v>12.8</v>
      </c>
      <c r="H27" s="83">
        <v>595.91999999999996</v>
      </c>
      <c r="I27" s="83">
        <v>1.044</v>
      </c>
      <c r="J27" s="83">
        <v>4.25</v>
      </c>
      <c r="K27" s="82" t="s">
        <v>123</v>
      </c>
      <c r="L27" s="85">
        <v>0</v>
      </c>
    </row>
    <row r="28" spans="1:21" ht="15.75" customHeight="1">
      <c r="A28" s="81" t="s">
        <v>57</v>
      </c>
      <c r="B28" s="83">
        <v>1.03</v>
      </c>
      <c r="C28" s="83">
        <f>(0.13*10^6*4)/(1.56*10^5*0.1)</f>
        <v>33.333333333333336</v>
      </c>
      <c r="D28" s="83">
        <v>10</v>
      </c>
      <c r="E28" s="83">
        <v>6</v>
      </c>
      <c r="F28" s="83">
        <v>65</v>
      </c>
      <c r="G28" s="83">
        <v>8.9</v>
      </c>
      <c r="H28" s="83">
        <v>467.94</v>
      </c>
      <c r="I28" s="83">
        <v>0.25600000000000001</v>
      </c>
      <c r="J28" s="83">
        <v>7.3</v>
      </c>
      <c r="K28" s="82" t="s">
        <v>123</v>
      </c>
      <c r="L28" s="85">
        <v>0</v>
      </c>
    </row>
    <row r="29" spans="1:21" ht="15.75" customHeight="1">
      <c r="A29" s="81" t="s">
        <v>61</v>
      </c>
      <c r="B29" s="83">
        <v>1.53</v>
      </c>
      <c r="C29" s="83">
        <f>(0.1*10^6*4)/(1.56*10^5*0.1)</f>
        <v>25.641025641025642</v>
      </c>
      <c r="D29" s="83">
        <v>9.6</v>
      </c>
      <c r="E29" s="83">
        <v>9.3000000000000007</v>
      </c>
      <c r="F29" s="83">
        <v>75.2</v>
      </c>
      <c r="G29" s="83">
        <v>10.9</v>
      </c>
      <c r="H29" s="83">
        <v>222.42</v>
      </c>
      <c r="I29" s="83">
        <v>0.34200000000000003</v>
      </c>
      <c r="J29" s="83">
        <v>3.8</v>
      </c>
      <c r="K29" s="82" t="s">
        <v>123</v>
      </c>
      <c r="L29" s="85">
        <v>0</v>
      </c>
    </row>
    <row r="30" spans="1:21" ht="15.75" customHeight="1">
      <c r="A30" s="81" t="s">
        <v>65</v>
      </c>
      <c r="B30" s="83">
        <v>1.03</v>
      </c>
      <c r="C30" s="83">
        <f>(0.12*10^6*4)/(1.56*10^5*0.1)</f>
        <v>30.76923076923077</v>
      </c>
      <c r="D30" s="83">
        <v>11.2</v>
      </c>
      <c r="E30" s="83">
        <v>8</v>
      </c>
      <c r="F30" s="83">
        <v>62.2</v>
      </c>
      <c r="G30" s="83">
        <v>6.4</v>
      </c>
      <c r="H30" s="83">
        <v>560.9</v>
      </c>
      <c r="I30" s="83">
        <v>0.26100000000000001</v>
      </c>
      <c r="J30" s="83">
        <v>1.5</v>
      </c>
      <c r="K30" s="82" t="s">
        <v>123</v>
      </c>
      <c r="L30" s="85">
        <v>0</v>
      </c>
    </row>
    <row r="31" spans="1:21" ht="15.75" customHeight="1">
      <c r="A31" s="81" t="s">
        <v>67</v>
      </c>
      <c r="B31" s="83">
        <v>1.03</v>
      </c>
      <c r="C31" s="83">
        <f>(0.11*10^6*4)/(1.56*10^5*0.1)</f>
        <v>28.205128205128204</v>
      </c>
      <c r="D31" s="83">
        <v>6</v>
      </c>
      <c r="E31" s="83">
        <v>4.8</v>
      </c>
      <c r="F31" s="83">
        <v>60</v>
      </c>
      <c r="G31" s="83">
        <v>5.6</v>
      </c>
      <c r="H31" s="83">
        <v>435.16</v>
      </c>
      <c r="I31" s="83">
        <v>0.29200000000000004</v>
      </c>
      <c r="J31" s="83">
        <v>5.5</v>
      </c>
      <c r="K31" s="82" t="s">
        <v>123</v>
      </c>
      <c r="L31" s="85">
        <v>0</v>
      </c>
      <c r="N31" s="83"/>
      <c r="O31" s="83"/>
      <c r="P31" s="83"/>
      <c r="Q31" s="83"/>
      <c r="R31" s="83"/>
      <c r="S31" s="83"/>
      <c r="T31" s="83"/>
      <c r="U31" s="83"/>
    </row>
    <row r="32" spans="1:21" ht="15.75" customHeight="1">
      <c r="A32" s="81" t="s">
        <v>85</v>
      </c>
      <c r="B32" s="83">
        <v>1.03</v>
      </c>
      <c r="C32" s="87">
        <v>35.897435897435898</v>
      </c>
      <c r="D32" s="87">
        <v>6.8</v>
      </c>
      <c r="E32" s="87">
        <v>7.3</v>
      </c>
      <c r="F32" s="87">
        <v>58.5</v>
      </c>
      <c r="G32" s="87">
        <v>9.9</v>
      </c>
      <c r="H32" s="87">
        <v>365.14</v>
      </c>
      <c r="I32" s="87">
        <v>0.33050000000000007</v>
      </c>
      <c r="J32" s="87">
        <v>3</v>
      </c>
      <c r="K32" s="82" t="s">
        <v>124</v>
      </c>
      <c r="L32" s="85">
        <v>0</v>
      </c>
    </row>
    <row r="33" spans="1:12" ht="15.75" customHeight="1">
      <c r="A33" s="81" t="s">
        <v>13</v>
      </c>
      <c r="B33" s="83">
        <v>2.0499999999999998</v>
      </c>
      <c r="C33" s="83">
        <f>(0.11*10^6*4)/(1.56*10^5*0.1)</f>
        <v>28.205128205128204</v>
      </c>
      <c r="D33" s="83">
        <v>7.6</v>
      </c>
      <c r="E33" s="83">
        <v>8</v>
      </c>
      <c r="F33" s="83">
        <v>41.5</v>
      </c>
      <c r="G33" s="83">
        <v>15.26</v>
      </c>
      <c r="H33" s="83">
        <v>361.28</v>
      </c>
      <c r="I33" s="83">
        <v>0.37071428571428577</v>
      </c>
      <c r="J33" s="83">
        <v>4.9000000000000004</v>
      </c>
      <c r="K33" s="82" t="s">
        <v>124</v>
      </c>
      <c r="L33" s="85">
        <v>0</v>
      </c>
    </row>
    <row r="34" spans="1:12" ht="15.75" customHeight="1">
      <c r="A34" s="81" t="s">
        <v>15</v>
      </c>
      <c r="B34" s="83">
        <v>3.58</v>
      </c>
      <c r="C34" s="83">
        <f t="shared" ref="C34:C36" si="5">(0.1*10^6*4)/(1.56*10^5*0.1)</f>
        <v>25.641025641025642</v>
      </c>
      <c r="D34" s="83">
        <v>7.6</v>
      </c>
      <c r="E34" s="83">
        <v>4.7</v>
      </c>
      <c r="F34" s="83">
        <v>65</v>
      </c>
      <c r="G34" s="83">
        <v>10.9</v>
      </c>
      <c r="H34" s="83">
        <v>404.13</v>
      </c>
      <c r="I34" s="83">
        <v>0.37071428571428577</v>
      </c>
      <c r="J34" s="83">
        <v>2</v>
      </c>
      <c r="K34" s="82" t="s">
        <v>124</v>
      </c>
      <c r="L34" s="85">
        <v>0</v>
      </c>
    </row>
    <row r="35" spans="1:12" ht="15.75" customHeight="1">
      <c r="A35" s="81" t="s">
        <v>17</v>
      </c>
      <c r="B35" s="83">
        <v>1.03</v>
      </c>
      <c r="C35" s="83">
        <f t="shared" si="5"/>
        <v>25.641025641025642</v>
      </c>
      <c r="D35" s="83">
        <v>5.2</v>
      </c>
      <c r="E35" s="83">
        <v>6</v>
      </c>
      <c r="F35" s="83">
        <v>44.1</v>
      </c>
      <c r="G35" s="83">
        <v>10.9</v>
      </c>
      <c r="H35" s="83">
        <v>235.23</v>
      </c>
      <c r="I35" s="83">
        <v>0.62200000000000011</v>
      </c>
      <c r="J35" s="83">
        <v>4.4000000000000004</v>
      </c>
      <c r="K35" s="82" t="s">
        <v>124</v>
      </c>
      <c r="L35" s="85">
        <v>0</v>
      </c>
    </row>
    <row r="36" spans="1:12" ht="15.75" customHeight="1">
      <c r="A36" s="81" t="s">
        <v>19</v>
      </c>
      <c r="B36" s="83">
        <v>2.0499999999999998</v>
      </c>
      <c r="C36" s="83">
        <f t="shared" si="5"/>
        <v>25.641025641025642</v>
      </c>
      <c r="D36" s="83">
        <v>8.4</v>
      </c>
      <c r="E36" s="83">
        <v>12.7</v>
      </c>
      <c r="F36" s="83">
        <v>52</v>
      </c>
      <c r="G36" s="83">
        <v>11.5</v>
      </c>
      <c r="H36" s="83">
        <v>472.4</v>
      </c>
      <c r="I36" s="83">
        <v>0.51400000000000001</v>
      </c>
      <c r="J36" s="83">
        <v>3.2</v>
      </c>
      <c r="K36" s="82" t="s">
        <v>124</v>
      </c>
      <c r="L36" s="85">
        <v>0</v>
      </c>
    </row>
    <row r="37" spans="1:12" ht="15.75" customHeight="1">
      <c r="A37" s="81" t="s">
        <v>22</v>
      </c>
      <c r="B37" s="83">
        <v>1.53</v>
      </c>
      <c r="C37" s="83">
        <f>(0.14*10^6*4)/(1.56*10^5*0.1)</f>
        <v>35.897435897435898</v>
      </c>
      <c r="D37" s="83">
        <v>8.4</v>
      </c>
      <c r="E37" s="83">
        <v>5.6</v>
      </c>
      <c r="F37" s="83">
        <v>41.5</v>
      </c>
      <c r="G37" s="83">
        <v>8.9</v>
      </c>
      <c r="H37" s="83">
        <v>638.6</v>
      </c>
      <c r="I37" s="83">
        <v>0.32200000000000006</v>
      </c>
      <c r="J37" s="83">
        <v>4.5999999999999996</v>
      </c>
      <c r="K37" s="82" t="s">
        <v>124</v>
      </c>
      <c r="L37" s="85">
        <v>0</v>
      </c>
    </row>
    <row r="38" spans="1:12" ht="15.75" customHeight="1">
      <c r="A38" s="81" t="s">
        <v>26</v>
      </c>
      <c r="B38" s="83">
        <v>2.56</v>
      </c>
      <c r="C38" s="83">
        <f t="shared" ref="C38:C39" si="6">(0.13*10^6*4)/(1.56*10^5*0.1)</f>
        <v>33.333333333333336</v>
      </c>
      <c r="D38" s="83">
        <v>6.8</v>
      </c>
      <c r="E38" s="83">
        <v>10.7</v>
      </c>
      <c r="F38" s="83">
        <v>60</v>
      </c>
      <c r="G38" s="83">
        <v>12.2</v>
      </c>
      <c r="H38" s="83">
        <v>384.54</v>
      </c>
      <c r="I38" s="83">
        <v>0.28600000000000003</v>
      </c>
      <c r="J38" s="83">
        <v>4.3</v>
      </c>
      <c r="K38" s="82" t="s">
        <v>124</v>
      </c>
      <c r="L38" s="85">
        <v>0</v>
      </c>
    </row>
    <row r="39" spans="1:12" ht="15.75" customHeight="1">
      <c r="A39" s="81" t="s">
        <v>86</v>
      </c>
      <c r="B39" s="83">
        <v>4.6100000000000003</v>
      </c>
      <c r="C39" s="83">
        <f t="shared" si="6"/>
        <v>33.333333333333336</v>
      </c>
      <c r="D39" s="83">
        <v>11.5</v>
      </c>
      <c r="E39" s="83">
        <v>7.3</v>
      </c>
      <c r="F39" s="83">
        <v>57</v>
      </c>
      <c r="G39" s="83">
        <v>12.2</v>
      </c>
      <c r="H39" s="83">
        <v>490.33</v>
      </c>
      <c r="I39" s="83">
        <v>0.37071428571428577</v>
      </c>
      <c r="J39" s="83">
        <v>4.5999999999999996</v>
      </c>
      <c r="K39" s="82" t="s">
        <v>124</v>
      </c>
      <c r="L39" s="85">
        <v>0</v>
      </c>
    </row>
    <row r="40" spans="1:12" ht="15.75" customHeight="1">
      <c r="A40" s="81" t="s">
        <v>31</v>
      </c>
      <c r="B40" s="83">
        <v>1.03</v>
      </c>
      <c r="C40" s="83">
        <f>(0.095*10^6*4)/(1.56*10^5*0.1)</f>
        <v>24.358974358974358</v>
      </c>
      <c r="D40" s="83">
        <v>6.8</v>
      </c>
      <c r="E40" s="83">
        <v>10.7</v>
      </c>
      <c r="F40" s="83">
        <v>65</v>
      </c>
      <c r="G40" s="83">
        <v>8.9</v>
      </c>
      <c r="H40" s="83">
        <v>606.14</v>
      </c>
      <c r="I40" s="83">
        <v>0.22800000000000001</v>
      </c>
      <c r="J40" s="83">
        <v>2.9</v>
      </c>
      <c r="K40" s="82" t="s">
        <v>124</v>
      </c>
      <c r="L40" s="85">
        <v>0</v>
      </c>
    </row>
    <row r="41" spans="1:12" ht="15.75" customHeight="1">
      <c r="A41" s="81" t="s">
        <v>35</v>
      </c>
      <c r="B41" s="83">
        <v>1.03</v>
      </c>
      <c r="C41" s="83">
        <f>(0.145*10^6*4)/(1.56*10^5*0.1)</f>
        <v>37.179487179487182</v>
      </c>
      <c r="D41" s="83">
        <v>6.4</v>
      </c>
      <c r="E41" s="83">
        <v>7.3</v>
      </c>
      <c r="F41" s="83">
        <v>72.599999999999994</v>
      </c>
      <c r="G41" s="83">
        <v>6.4</v>
      </c>
      <c r="H41" s="83">
        <v>474.85</v>
      </c>
      <c r="I41" s="83">
        <v>0.50600000000000001</v>
      </c>
      <c r="J41" s="83">
        <v>4.3</v>
      </c>
      <c r="K41" s="82" t="s">
        <v>124</v>
      </c>
      <c r="L41" s="85">
        <v>0</v>
      </c>
    </row>
    <row r="42" spans="1:12" ht="15.75" customHeight="1">
      <c r="A42" s="81" t="s">
        <v>37</v>
      </c>
      <c r="B42" s="83">
        <v>1.03</v>
      </c>
      <c r="C42" s="83">
        <f>(0.11*10^6*4)/(1.56*10^5*0.1)</f>
        <v>28.205128205128204</v>
      </c>
      <c r="D42" s="83">
        <v>6</v>
      </c>
      <c r="E42" s="83">
        <v>1.7</v>
      </c>
      <c r="F42" s="83">
        <v>63</v>
      </c>
      <c r="G42" s="83">
        <v>7.7</v>
      </c>
      <c r="H42" s="83">
        <v>184.54</v>
      </c>
      <c r="I42" s="83">
        <v>0.41100000000000003</v>
      </c>
      <c r="J42" s="83">
        <v>3.8</v>
      </c>
      <c r="K42" s="82" t="s">
        <v>124</v>
      </c>
      <c r="L42" s="85">
        <v>0</v>
      </c>
    </row>
    <row r="43" spans="1:12" ht="15.75" customHeight="1">
      <c r="A43" s="81" t="s">
        <v>87</v>
      </c>
      <c r="B43" s="83">
        <v>1.53</v>
      </c>
      <c r="C43" s="83">
        <f>(0.15*10^6*4)/(1.56*10^5*0.1)</f>
        <v>38.46153846153846</v>
      </c>
      <c r="D43" s="83">
        <v>8</v>
      </c>
      <c r="E43" s="83">
        <v>7.3</v>
      </c>
      <c r="F43" s="83">
        <v>67.400000000000006</v>
      </c>
      <c r="G43" s="83">
        <v>12.2</v>
      </c>
      <c r="H43" s="83">
        <v>321.27</v>
      </c>
      <c r="I43" s="83">
        <v>0.39700000000000002</v>
      </c>
      <c r="J43" s="83">
        <v>3</v>
      </c>
      <c r="K43" s="82" t="s">
        <v>124</v>
      </c>
      <c r="L43" s="85">
        <v>0</v>
      </c>
    </row>
    <row r="44" spans="1:12" ht="15.75" customHeight="1">
      <c r="A44" s="81" t="s">
        <v>43</v>
      </c>
      <c r="B44" s="83">
        <v>2.0499999999999998</v>
      </c>
      <c r="C44" s="83">
        <f>(0.12*10^6*4)/(1.56*10^5*0.1)</f>
        <v>30.76923076923077</v>
      </c>
      <c r="D44" s="83">
        <v>6.8</v>
      </c>
      <c r="E44" s="83">
        <v>6</v>
      </c>
      <c r="F44" s="83">
        <v>85.6</v>
      </c>
      <c r="G44" s="83">
        <v>7.7</v>
      </c>
      <c r="H44" s="83">
        <v>328.9</v>
      </c>
      <c r="I44" s="83">
        <v>0.37071428571428577</v>
      </c>
      <c r="J44" s="83">
        <v>3</v>
      </c>
      <c r="K44" s="82" t="s">
        <v>124</v>
      </c>
      <c r="L44" s="85">
        <v>0</v>
      </c>
    </row>
    <row r="45" spans="1:12" ht="15.75" customHeight="1">
      <c r="A45" s="81" t="s">
        <v>47</v>
      </c>
      <c r="B45" s="83">
        <v>1.03</v>
      </c>
      <c r="C45" s="83">
        <f>(0.09*10^6*4)/(1.56*10^5*0.1)</f>
        <v>23.076923076923077</v>
      </c>
      <c r="D45" s="83">
        <v>8</v>
      </c>
      <c r="E45" s="83">
        <v>8.6999999999999993</v>
      </c>
      <c r="F45" s="83">
        <v>65</v>
      </c>
      <c r="G45" s="83">
        <v>7.7</v>
      </c>
      <c r="H45" s="83">
        <v>369</v>
      </c>
      <c r="I45" s="83">
        <v>0.28300000000000003</v>
      </c>
      <c r="J45" s="83">
        <v>3</v>
      </c>
      <c r="K45" s="82" t="s">
        <v>124</v>
      </c>
      <c r="L45" s="85">
        <v>0</v>
      </c>
    </row>
    <row r="46" spans="1:12" ht="15.75" customHeight="1">
      <c r="A46" s="81" t="s">
        <v>49</v>
      </c>
      <c r="B46" s="83">
        <v>3.08</v>
      </c>
      <c r="C46" s="83">
        <f>(0.15*10^6*4)/(1.56*10^5*0.1)</f>
        <v>38.46153846153846</v>
      </c>
      <c r="D46" s="83">
        <v>5.2</v>
      </c>
      <c r="E46" s="83">
        <v>11.3</v>
      </c>
      <c r="F46" s="83">
        <v>44.1</v>
      </c>
      <c r="G46" s="83">
        <v>17.3</v>
      </c>
      <c r="H46" s="83">
        <v>369</v>
      </c>
      <c r="I46" s="83">
        <v>0.28300000000000003</v>
      </c>
      <c r="J46" s="83">
        <v>3</v>
      </c>
      <c r="K46" s="82" t="s">
        <v>124</v>
      </c>
      <c r="L46" s="85">
        <v>0</v>
      </c>
    </row>
    <row r="47" spans="1:12" ht="15.75" customHeight="1">
      <c r="A47" s="81" t="s">
        <v>53</v>
      </c>
      <c r="B47" s="83">
        <v>1.03</v>
      </c>
      <c r="C47" s="83">
        <f>(0.14*10^6*4)/(1.56*10^5*0.1)</f>
        <v>35.897435897435898</v>
      </c>
      <c r="D47" s="83">
        <v>10</v>
      </c>
      <c r="E47" s="83">
        <v>4.7</v>
      </c>
      <c r="F47" s="83">
        <v>52</v>
      </c>
      <c r="G47" s="83">
        <v>12.2</v>
      </c>
      <c r="H47" s="83">
        <v>446.53</v>
      </c>
      <c r="I47" s="83">
        <v>0.24700000000000003</v>
      </c>
      <c r="J47" s="83">
        <v>3</v>
      </c>
      <c r="K47" s="82" t="s">
        <v>124</v>
      </c>
      <c r="L47" s="85">
        <v>0</v>
      </c>
    </row>
    <row r="48" spans="1:12" ht="15.75" customHeight="1">
      <c r="A48" s="81" t="s">
        <v>55</v>
      </c>
      <c r="B48" s="83">
        <v>1.53</v>
      </c>
      <c r="C48" s="83">
        <f>(0.13*10^6*4)/(1.56*10^5*0.1)</f>
        <v>33.333333333333336</v>
      </c>
      <c r="D48" s="83">
        <v>5.2</v>
      </c>
      <c r="E48" s="83">
        <v>8</v>
      </c>
      <c r="F48" s="83">
        <v>41.5</v>
      </c>
      <c r="G48" s="83">
        <v>8.9</v>
      </c>
      <c r="H48" s="83">
        <v>373.44</v>
      </c>
      <c r="I48" s="83">
        <v>0.29700000000000004</v>
      </c>
      <c r="J48" s="83">
        <v>2.6</v>
      </c>
      <c r="K48" s="82" t="s">
        <v>124</v>
      </c>
      <c r="L48" s="85">
        <v>0</v>
      </c>
    </row>
    <row r="49" spans="1:12" ht="15.75" customHeight="1">
      <c r="A49" s="81" t="s">
        <v>59</v>
      </c>
      <c r="B49" s="83">
        <v>1.53</v>
      </c>
      <c r="C49" s="83">
        <f>(0.1*10^6*4)/(1.56*10^5*0.1)</f>
        <v>25.641025641025642</v>
      </c>
      <c r="D49" s="83">
        <v>6</v>
      </c>
      <c r="E49" s="83">
        <v>8</v>
      </c>
      <c r="F49" s="83">
        <v>36.299999999999997</v>
      </c>
      <c r="G49" s="83">
        <v>7.7</v>
      </c>
      <c r="H49" s="83">
        <v>488.95</v>
      </c>
      <c r="I49" s="83">
        <v>0.31900000000000006</v>
      </c>
      <c r="J49" s="83">
        <v>3</v>
      </c>
      <c r="K49" s="82" t="s">
        <v>124</v>
      </c>
      <c r="L49" s="85">
        <v>0</v>
      </c>
    </row>
    <row r="50" spans="1:12" ht="15.75" customHeight="1">
      <c r="A50" s="81" t="s">
        <v>63</v>
      </c>
      <c r="B50" s="83">
        <v>0.51</v>
      </c>
      <c r="C50" s="87">
        <v>28.205128205128204</v>
      </c>
      <c r="D50" s="83">
        <v>9.6</v>
      </c>
      <c r="E50" s="83">
        <v>8.6999999999999993</v>
      </c>
      <c r="F50" s="83">
        <v>41.5</v>
      </c>
      <c r="G50" s="83">
        <v>11.5</v>
      </c>
      <c r="H50" s="83">
        <v>125.6</v>
      </c>
      <c r="I50" s="83">
        <v>0.51100000000000001</v>
      </c>
      <c r="J50" s="83">
        <v>3.8</v>
      </c>
      <c r="K50" s="82" t="s">
        <v>124</v>
      </c>
      <c r="L50" s="85">
        <v>0</v>
      </c>
    </row>
    <row r="51" spans="1:12" ht="15.75" customHeight="1">
      <c r="A51" s="81" t="s">
        <v>69</v>
      </c>
      <c r="B51" s="83">
        <v>1.03</v>
      </c>
      <c r="C51" s="83">
        <f t="shared" ref="C51:C53" si="7">(0.1*10^6*4)/(1.56*10^5*0.1)</f>
        <v>25.641025641025642</v>
      </c>
      <c r="D51" s="83">
        <v>8</v>
      </c>
      <c r="E51" s="83">
        <v>9.3000000000000007</v>
      </c>
      <c r="F51" s="83">
        <v>52</v>
      </c>
      <c r="G51" s="83">
        <v>13.4</v>
      </c>
      <c r="H51" s="83">
        <v>132.71</v>
      </c>
      <c r="I51" s="83">
        <v>0.94200000000000006</v>
      </c>
      <c r="J51" s="83">
        <v>4.5999999999999996</v>
      </c>
      <c r="K51" s="82" t="s">
        <v>124</v>
      </c>
      <c r="L51" s="85">
        <v>0</v>
      </c>
    </row>
    <row r="52" spans="1:12" ht="15.75" customHeight="1">
      <c r="A52" s="81" t="s">
        <v>71</v>
      </c>
      <c r="B52" s="83">
        <v>1.53</v>
      </c>
      <c r="C52" s="83">
        <f t="shared" si="7"/>
        <v>25.641025641025642</v>
      </c>
      <c r="D52" s="83">
        <v>6.8</v>
      </c>
      <c r="E52" s="83">
        <v>9.3000000000000007</v>
      </c>
      <c r="F52" s="83">
        <v>60</v>
      </c>
      <c r="G52" s="83">
        <v>14.7</v>
      </c>
      <c r="H52" s="83">
        <v>301.8</v>
      </c>
      <c r="I52" s="83">
        <v>0.28900000000000003</v>
      </c>
      <c r="J52" s="83">
        <v>2</v>
      </c>
      <c r="K52" s="82" t="s">
        <v>124</v>
      </c>
      <c r="L52" s="85">
        <v>0</v>
      </c>
    </row>
    <row r="53" spans="1:12" ht="15.75" customHeight="1">
      <c r="A53" s="81" t="s">
        <v>88</v>
      </c>
      <c r="B53" s="83">
        <v>2.0499999999999998</v>
      </c>
      <c r="C53" s="83">
        <f t="shared" si="7"/>
        <v>25.641025641025642</v>
      </c>
      <c r="D53" s="83">
        <v>5.2</v>
      </c>
      <c r="E53" s="83">
        <v>5.2</v>
      </c>
      <c r="F53" s="83">
        <v>65</v>
      </c>
      <c r="G53" s="83">
        <v>7.7</v>
      </c>
      <c r="H53" s="83">
        <v>280</v>
      </c>
      <c r="I53" s="83">
        <v>0.33900000000000008</v>
      </c>
      <c r="J53" s="83">
        <v>3</v>
      </c>
      <c r="K53" s="82" t="s">
        <v>124</v>
      </c>
      <c r="L53" s="85">
        <v>0</v>
      </c>
    </row>
    <row r="54" spans="1:12" ht="15.75" customHeight="1">
      <c r="A54" s="81" t="s">
        <v>75</v>
      </c>
      <c r="B54" s="83">
        <v>3.08</v>
      </c>
      <c r="C54" s="83">
        <f>(0.145*10^6*4)/(1.56*10^5*0.1)</f>
        <v>37.179487179487182</v>
      </c>
      <c r="D54" s="83">
        <v>6</v>
      </c>
      <c r="E54" s="83">
        <v>6</v>
      </c>
      <c r="F54" s="83">
        <v>57</v>
      </c>
      <c r="G54" s="83">
        <v>6.4</v>
      </c>
      <c r="H54" s="83">
        <v>250</v>
      </c>
      <c r="I54" s="83">
        <v>0.24700000000000003</v>
      </c>
      <c r="J54" s="83">
        <v>3</v>
      </c>
      <c r="K54" s="82" t="s">
        <v>124</v>
      </c>
      <c r="L54" s="85">
        <v>0</v>
      </c>
    </row>
    <row r="55" spans="1:12" ht="15.75" customHeight="1">
      <c r="A55" s="81" t="s">
        <v>77</v>
      </c>
      <c r="B55" s="83">
        <v>2.56</v>
      </c>
      <c r="C55" s="83">
        <f>(0.13*10^6*4)/(1.56*10^5*0.1)</f>
        <v>33.333333333333336</v>
      </c>
      <c r="D55" s="83">
        <v>8</v>
      </c>
      <c r="E55" s="83">
        <v>6</v>
      </c>
      <c r="F55" s="83">
        <v>62.2</v>
      </c>
      <c r="G55" s="83">
        <v>7.7</v>
      </c>
      <c r="H55" s="83">
        <v>230</v>
      </c>
      <c r="I55" s="83">
        <v>0.189</v>
      </c>
      <c r="J55" s="83">
        <v>3</v>
      </c>
      <c r="K55" s="82" t="s">
        <v>124</v>
      </c>
      <c r="L55" s="85">
        <v>0</v>
      </c>
    </row>
    <row r="56" spans="1:12" ht="15.75" customHeight="1">
      <c r="A56" s="81" t="s">
        <v>89</v>
      </c>
      <c r="B56" s="83">
        <v>2.0499999999999998</v>
      </c>
      <c r="C56" s="83">
        <f>(0.14*10^6*4)/(1.56*10^5*0.1)</f>
        <v>35.897435897435898</v>
      </c>
      <c r="D56" s="83">
        <v>1.2</v>
      </c>
      <c r="E56" s="83">
        <v>4.8</v>
      </c>
      <c r="F56" s="83">
        <v>73</v>
      </c>
      <c r="G56" s="83">
        <v>6.4</v>
      </c>
      <c r="H56" s="83">
        <v>325</v>
      </c>
      <c r="I56" s="83">
        <v>0.17500000000000002</v>
      </c>
      <c r="J56" s="83">
        <v>4.5999999999999996</v>
      </c>
      <c r="K56" s="82" t="s">
        <v>124</v>
      </c>
      <c r="L56" s="85">
        <v>0</v>
      </c>
    </row>
    <row r="57" spans="1:12" ht="15.75" customHeight="1">
      <c r="A57" s="79" t="s">
        <v>12</v>
      </c>
      <c r="B57" s="84">
        <v>4.8</v>
      </c>
      <c r="C57" s="84">
        <v>8.6999999999999993</v>
      </c>
      <c r="D57" s="84">
        <v>52</v>
      </c>
      <c r="E57" s="84">
        <v>8.9</v>
      </c>
      <c r="F57" s="84">
        <v>4.5999999999999996</v>
      </c>
      <c r="G57" s="84">
        <v>1.53</v>
      </c>
      <c r="H57" s="84">
        <v>28.205128205128204</v>
      </c>
      <c r="I57" s="84">
        <v>276.66666666666669</v>
      </c>
      <c r="J57" s="84">
        <v>0.31100000000000005</v>
      </c>
      <c r="K57" s="77" t="s">
        <v>121</v>
      </c>
      <c r="L57" s="86">
        <v>2</v>
      </c>
    </row>
    <row r="58" spans="1:12" ht="15.75" customHeight="1">
      <c r="A58" s="79" t="s">
        <v>14</v>
      </c>
      <c r="B58" s="84">
        <v>4.4000000000000004</v>
      </c>
      <c r="C58" s="84">
        <v>7.3</v>
      </c>
      <c r="D58" s="84">
        <v>60</v>
      </c>
      <c r="E58" s="84">
        <v>5.6</v>
      </c>
      <c r="F58" s="84">
        <v>5.3</v>
      </c>
      <c r="G58" s="84">
        <v>3.58</v>
      </c>
      <c r="H58" s="84">
        <v>28.205128205128204</v>
      </c>
      <c r="I58" s="84">
        <v>350</v>
      </c>
      <c r="J58" s="84">
        <v>0.24700000000000003</v>
      </c>
      <c r="K58" s="77" t="s">
        <v>121</v>
      </c>
      <c r="L58" s="86">
        <v>2</v>
      </c>
    </row>
    <row r="59" spans="1:12" ht="15.75" customHeight="1">
      <c r="A59" s="74" t="s">
        <v>16</v>
      </c>
      <c r="B59" s="84">
        <v>7.6</v>
      </c>
      <c r="C59" s="84">
        <v>6.8</v>
      </c>
      <c r="D59" s="84">
        <v>57</v>
      </c>
      <c r="E59" s="84">
        <v>7.7</v>
      </c>
      <c r="F59" s="84">
        <v>8</v>
      </c>
      <c r="G59" s="84">
        <v>2.0499999999999998</v>
      </c>
      <c r="H59" s="84">
        <v>28.205128205128204</v>
      </c>
      <c r="I59" s="84">
        <v>320</v>
      </c>
      <c r="J59" s="84">
        <v>0.33900000000000008</v>
      </c>
      <c r="K59" s="77" t="s">
        <v>121</v>
      </c>
      <c r="L59" s="86">
        <v>2</v>
      </c>
    </row>
    <row r="60" spans="1:12" ht="15.75" customHeight="1">
      <c r="A60" s="74" t="s">
        <v>18</v>
      </c>
      <c r="B60" s="84">
        <v>4.8</v>
      </c>
      <c r="C60" s="84">
        <v>8</v>
      </c>
      <c r="D60" s="84">
        <v>47</v>
      </c>
      <c r="E60" s="84">
        <v>7.7</v>
      </c>
      <c r="F60" s="84">
        <v>7.8</v>
      </c>
      <c r="G60" s="84">
        <v>2.0499999999999998</v>
      </c>
      <c r="H60" s="84">
        <v>28.205128205128204</v>
      </c>
      <c r="I60" s="84">
        <v>150</v>
      </c>
      <c r="J60" s="84">
        <v>0.15000000000000002</v>
      </c>
      <c r="K60" s="77" t="s">
        <v>121</v>
      </c>
      <c r="L60" s="86">
        <v>2</v>
      </c>
    </row>
    <row r="61" spans="1:12" ht="15.75" customHeight="1">
      <c r="A61" s="74" t="s">
        <v>21</v>
      </c>
      <c r="B61" s="84">
        <v>5.2</v>
      </c>
      <c r="C61" s="84">
        <v>8</v>
      </c>
      <c r="D61" s="84">
        <v>47</v>
      </c>
      <c r="E61" s="84">
        <v>6.4</v>
      </c>
      <c r="F61" s="84">
        <v>5.3</v>
      </c>
      <c r="G61" s="84">
        <v>2.56</v>
      </c>
      <c r="H61" s="84">
        <v>28.205128205128204</v>
      </c>
      <c r="I61" s="84">
        <v>240</v>
      </c>
      <c r="J61" s="84">
        <v>0.20800000000000002</v>
      </c>
      <c r="K61" s="77" t="s">
        <v>121</v>
      </c>
      <c r="L61" s="86">
        <v>2</v>
      </c>
    </row>
    <row r="62" spans="1:12" ht="15.75" customHeight="1">
      <c r="A62" s="74" t="s">
        <v>25</v>
      </c>
      <c r="B62" s="84">
        <v>9.6</v>
      </c>
      <c r="C62" s="84">
        <v>4.5999999999999996</v>
      </c>
      <c r="D62" s="84">
        <v>52</v>
      </c>
      <c r="E62" s="84">
        <v>5.6</v>
      </c>
      <c r="F62" s="84">
        <v>6.26</v>
      </c>
      <c r="G62" s="84">
        <v>4.0999999999999996</v>
      </c>
      <c r="H62" s="84">
        <v>25.641025641025642</v>
      </c>
      <c r="I62" s="84">
        <v>210</v>
      </c>
      <c r="J62" s="84">
        <v>0.19400000000000001</v>
      </c>
      <c r="K62" s="77" t="s">
        <v>121</v>
      </c>
      <c r="L62" s="86">
        <v>2</v>
      </c>
    </row>
    <row r="63" spans="1:12" ht="15.75" customHeight="1">
      <c r="A63" s="74" t="s">
        <v>27</v>
      </c>
      <c r="B63" s="84">
        <v>6.4</v>
      </c>
      <c r="C63" s="84">
        <v>10.7</v>
      </c>
      <c r="D63" s="84">
        <v>52</v>
      </c>
      <c r="E63" s="84">
        <v>11.5</v>
      </c>
      <c r="F63" s="84">
        <v>5.5</v>
      </c>
      <c r="G63" s="84">
        <v>2.0499999999999998</v>
      </c>
      <c r="H63" s="84">
        <v>30.76923076923077</v>
      </c>
      <c r="I63" s="84">
        <v>300</v>
      </c>
      <c r="J63" s="84">
        <v>0.17500000000000002</v>
      </c>
      <c r="K63" s="77" t="s">
        <v>121</v>
      </c>
      <c r="L63" s="86">
        <v>2</v>
      </c>
    </row>
    <row r="64" spans="1:12" ht="15.75" customHeight="1">
      <c r="A64" s="74" t="s">
        <v>29</v>
      </c>
      <c r="B64" s="84">
        <v>4.8</v>
      </c>
      <c r="C64" s="84">
        <v>5.2</v>
      </c>
      <c r="D64" s="84">
        <v>62.2</v>
      </c>
      <c r="E64" s="84">
        <v>6.4</v>
      </c>
      <c r="F64" s="84">
        <v>6.4</v>
      </c>
      <c r="G64" s="84">
        <v>3.08</v>
      </c>
      <c r="H64" s="84">
        <v>21.794871794871796</v>
      </c>
      <c r="I64" s="84">
        <v>300</v>
      </c>
      <c r="J64" s="84">
        <v>0.18099999999999999</v>
      </c>
      <c r="K64" s="77" t="s">
        <v>121</v>
      </c>
      <c r="L64" s="86">
        <v>2</v>
      </c>
    </row>
    <row r="65" spans="1:13" ht="15.75" customHeight="1">
      <c r="A65" s="74" t="s">
        <v>30</v>
      </c>
      <c r="B65" s="84">
        <v>6</v>
      </c>
      <c r="C65" s="84">
        <v>4.7</v>
      </c>
      <c r="D65" s="84">
        <v>73</v>
      </c>
      <c r="E65" s="84">
        <v>8.9</v>
      </c>
      <c r="F65" s="84">
        <v>5.8</v>
      </c>
      <c r="G65" s="84">
        <v>3.08</v>
      </c>
      <c r="H65" s="84">
        <v>28.205128205128204</v>
      </c>
      <c r="I65" s="84">
        <v>400</v>
      </c>
      <c r="J65" s="84">
        <v>0.17700000000000002</v>
      </c>
      <c r="K65" s="77" t="s">
        <v>121</v>
      </c>
      <c r="L65" s="86">
        <v>2</v>
      </c>
    </row>
    <row r="66" spans="1:13" ht="15.75" customHeight="1">
      <c r="A66" s="74" t="s">
        <v>32</v>
      </c>
      <c r="B66" s="84">
        <v>6</v>
      </c>
      <c r="C66" s="84">
        <v>6</v>
      </c>
      <c r="D66" s="84">
        <v>73</v>
      </c>
      <c r="E66" s="84">
        <v>8.9</v>
      </c>
      <c r="F66" s="84">
        <v>7.6</v>
      </c>
      <c r="G66" s="84">
        <v>2.56</v>
      </c>
      <c r="H66" s="84">
        <v>21.794871794871796</v>
      </c>
      <c r="I66" s="84">
        <v>290</v>
      </c>
      <c r="J66" s="84">
        <v>0.28100000000000003</v>
      </c>
      <c r="K66" s="77" t="s">
        <v>121</v>
      </c>
      <c r="L66" s="86">
        <v>2</v>
      </c>
    </row>
    <row r="67" spans="1:13" ht="15.75" customHeight="1">
      <c r="A67" s="74" t="s">
        <v>34</v>
      </c>
      <c r="B67" s="84">
        <v>6</v>
      </c>
      <c r="C67" s="84">
        <v>6</v>
      </c>
      <c r="D67" s="84">
        <v>73</v>
      </c>
      <c r="E67" s="84">
        <v>8.9</v>
      </c>
      <c r="F67" s="84">
        <v>6.26</v>
      </c>
      <c r="G67" s="84">
        <v>4.0999999999999996</v>
      </c>
      <c r="H67" s="84">
        <v>25.641025641025642</v>
      </c>
      <c r="I67" s="84">
        <v>170</v>
      </c>
      <c r="J67" s="84">
        <v>0.189</v>
      </c>
      <c r="K67" s="77" t="s">
        <v>121</v>
      </c>
      <c r="L67" s="86">
        <v>2</v>
      </c>
    </row>
    <row r="68" spans="1:13" ht="15.75" customHeight="1">
      <c r="A68" s="79" t="s">
        <v>36</v>
      </c>
      <c r="B68" s="84">
        <v>2</v>
      </c>
      <c r="C68" s="84">
        <v>5.4</v>
      </c>
      <c r="D68" s="84">
        <v>65</v>
      </c>
      <c r="E68" s="84">
        <v>4.2</v>
      </c>
      <c r="F68" s="84">
        <v>6.26</v>
      </c>
      <c r="G68" s="84">
        <v>3.1466666666666665</v>
      </c>
      <c r="H68" s="84">
        <v>35.897435897435898</v>
      </c>
      <c r="I68" s="84">
        <v>380</v>
      </c>
      <c r="J68" s="84">
        <v>0.17500000000000002</v>
      </c>
      <c r="K68" s="77" t="s">
        <v>121</v>
      </c>
      <c r="L68" s="86">
        <v>2</v>
      </c>
    </row>
    <row r="69" spans="1:13" ht="15.75" customHeight="1">
      <c r="A69" s="79" t="s">
        <v>38</v>
      </c>
      <c r="B69" s="84">
        <v>1.6</v>
      </c>
      <c r="C69" s="84">
        <v>5.2</v>
      </c>
      <c r="D69" s="84">
        <v>65</v>
      </c>
      <c r="E69" s="84">
        <v>4.2</v>
      </c>
      <c r="F69" s="84">
        <v>6.26</v>
      </c>
      <c r="G69" s="84">
        <v>3.08</v>
      </c>
      <c r="H69" s="84">
        <v>23.076923076923077</v>
      </c>
      <c r="I69" s="84">
        <v>240</v>
      </c>
      <c r="J69" s="84">
        <v>0.25600000000000001</v>
      </c>
      <c r="K69" s="77" t="s">
        <v>121</v>
      </c>
      <c r="L69" s="86">
        <v>2</v>
      </c>
    </row>
    <row r="70" spans="1:13" ht="15.75" customHeight="1">
      <c r="A70" s="79" t="s">
        <v>40</v>
      </c>
      <c r="B70" s="84">
        <v>4.5999999999999996</v>
      </c>
      <c r="C70" s="84">
        <v>4</v>
      </c>
      <c r="D70" s="84">
        <v>70</v>
      </c>
      <c r="E70" s="84">
        <v>5.6</v>
      </c>
      <c r="F70" s="84">
        <v>6.26</v>
      </c>
      <c r="G70" s="84">
        <v>3.08</v>
      </c>
      <c r="H70" s="84">
        <v>33.333333333333336</v>
      </c>
      <c r="I70" s="84">
        <v>250</v>
      </c>
      <c r="J70" s="84">
        <v>0.30300000000000005</v>
      </c>
      <c r="K70" s="77" t="s">
        <v>121</v>
      </c>
      <c r="L70" s="86">
        <v>2</v>
      </c>
    </row>
    <row r="71" spans="1:13" ht="15.75" customHeight="1">
      <c r="A71" s="79" t="s">
        <v>41</v>
      </c>
      <c r="B71" s="84">
        <v>0.8</v>
      </c>
      <c r="C71" s="84">
        <v>4</v>
      </c>
      <c r="D71" s="84">
        <v>67.400000000000006</v>
      </c>
      <c r="E71" s="84">
        <v>6.4</v>
      </c>
      <c r="F71" s="84">
        <v>6.26</v>
      </c>
      <c r="G71" s="84">
        <v>6.2</v>
      </c>
      <c r="H71" s="84">
        <v>34.615384615384613</v>
      </c>
      <c r="I71" s="84">
        <v>310</v>
      </c>
      <c r="J71" s="84">
        <v>0.31100000000000005</v>
      </c>
      <c r="K71" s="77" t="s">
        <v>121</v>
      </c>
      <c r="L71" s="86">
        <v>2</v>
      </c>
    </row>
    <row r="72" spans="1:13" ht="15.75" customHeight="1">
      <c r="A72" s="79" t="s">
        <v>42</v>
      </c>
      <c r="B72" s="84">
        <v>2</v>
      </c>
      <c r="C72" s="84">
        <v>4.7</v>
      </c>
      <c r="D72" s="84">
        <v>60</v>
      </c>
      <c r="E72" s="84">
        <v>6.7</v>
      </c>
      <c r="F72" s="84">
        <v>6.26</v>
      </c>
      <c r="G72" s="84">
        <v>4.0999999999999996</v>
      </c>
      <c r="H72" s="84">
        <v>28.205128205128204</v>
      </c>
      <c r="I72" s="84">
        <v>240</v>
      </c>
      <c r="J72" s="84">
        <v>0.497</v>
      </c>
      <c r="K72" s="77" t="s">
        <v>121</v>
      </c>
      <c r="L72" s="86">
        <v>2</v>
      </c>
    </row>
    <row r="73" spans="1:13" ht="15.75" customHeight="1">
      <c r="A73" s="79" t="s">
        <v>48</v>
      </c>
      <c r="B73" s="84">
        <v>1.2</v>
      </c>
      <c r="C73" s="84">
        <v>4.7</v>
      </c>
      <c r="D73" s="84">
        <v>72.599999999999994</v>
      </c>
      <c r="E73" s="84">
        <v>3.5</v>
      </c>
      <c r="F73" s="84">
        <v>5.9</v>
      </c>
      <c r="G73" s="84">
        <v>3.08</v>
      </c>
      <c r="H73" s="84">
        <v>28.205128205128204</v>
      </c>
      <c r="I73" s="84">
        <v>295</v>
      </c>
      <c r="J73" s="84">
        <v>0.27200000000000002</v>
      </c>
      <c r="K73" s="77" t="s">
        <v>122</v>
      </c>
      <c r="L73" s="86">
        <v>1</v>
      </c>
      <c r="M73" s="4"/>
    </row>
    <row r="74" spans="1:13" ht="15.75" customHeight="1">
      <c r="A74" s="79" t="s">
        <v>50</v>
      </c>
      <c r="B74" s="84">
        <v>1.6</v>
      </c>
      <c r="C74" s="84">
        <v>4</v>
      </c>
      <c r="D74" s="84">
        <v>72.599999999999994</v>
      </c>
      <c r="E74" s="84">
        <v>3.5</v>
      </c>
      <c r="F74" s="84">
        <v>4.5999999999999996</v>
      </c>
      <c r="G74" s="84">
        <v>1.03</v>
      </c>
      <c r="H74" s="84">
        <v>30.76923076923077</v>
      </c>
      <c r="I74" s="84">
        <v>170</v>
      </c>
      <c r="J74" s="84">
        <v>0.27500000000000002</v>
      </c>
      <c r="K74" s="77" t="s">
        <v>122</v>
      </c>
      <c r="L74" s="86">
        <v>1</v>
      </c>
      <c r="M74" s="4"/>
    </row>
    <row r="75" spans="1:13" ht="15.75" customHeight="1">
      <c r="A75" s="79" t="s">
        <v>52</v>
      </c>
      <c r="B75" s="84">
        <v>0.8</v>
      </c>
      <c r="C75" s="84">
        <v>6</v>
      </c>
      <c r="D75" s="84">
        <v>75.2</v>
      </c>
      <c r="E75" s="84">
        <v>4.9000000000000004</v>
      </c>
      <c r="F75" s="84">
        <v>4.9000000000000004</v>
      </c>
      <c r="G75" s="84">
        <v>2.0499999999999998</v>
      </c>
      <c r="H75" s="84">
        <v>23.076923076923077</v>
      </c>
      <c r="I75" s="84">
        <v>235.41666666666666</v>
      </c>
      <c r="J75" s="84">
        <v>0.27153333333333335</v>
      </c>
      <c r="K75" s="77" t="s">
        <v>122</v>
      </c>
      <c r="L75" s="86">
        <v>1</v>
      </c>
      <c r="M75" s="4"/>
    </row>
    <row r="76" spans="1:13" ht="15.75" customHeight="1">
      <c r="A76" s="79" t="s">
        <v>54</v>
      </c>
      <c r="B76" s="84">
        <v>2</v>
      </c>
      <c r="C76" s="84">
        <v>5.3</v>
      </c>
      <c r="D76" s="84">
        <v>75.2</v>
      </c>
      <c r="E76" s="84">
        <v>5.5</v>
      </c>
      <c r="F76" s="84">
        <v>3.3</v>
      </c>
      <c r="G76" s="84">
        <v>1.53</v>
      </c>
      <c r="H76" s="84">
        <v>30.76923076923077</v>
      </c>
      <c r="I76" s="84">
        <v>235.41666666666666</v>
      </c>
      <c r="J76" s="84">
        <v>0.27200000000000002</v>
      </c>
      <c r="K76" s="77" t="s">
        <v>122</v>
      </c>
      <c r="L76" s="86">
        <v>1</v>
      </c>
      <c r="M76" s="4"/>
    </row>
    <row r="77" spans="1:13" ht="15.75" customHeight="1">
      <c r="A77" s="79" t="s">
        <v>56</v>
      </c>
      <c r="B77" s="84">
        <v>2</v>
      </c>
      <c r="C77" s="84">
        <v>5.3</v>
      </c>
      <c r="D77" s="84">
        <v>75.2</v>
      </c>
      <c r="E77" s="84">
        <v>4.9000000000000004</v>
      </c>
      <c r="F77" s="84">
        <v>5.8</v>
      </c>
      <c r="G77" s="84">
        <v>1.03</v>
      </c>
      <c r="H77" s="84">
        <v>29.487179487179485</v>
      </c>
      <c r="I77" s="84">
        <v>270</v>
      </c>
      <c r="J77" s="84">
        <v>0.21100000000000002</v>
      </c>
      <c r="K77" s="77" t="s">
        <v>122</v>
      </c>
      <c r="L77" s="86">
        <v>1</v>
      </c>
      <c r="M77" s="4"/>
    </row>
    <row r="78" spans="1:13" ht="15.75" customHeight="1">
      <c r="A78" s="79" t="s">
        <v>58</v>
      </c>
      <c r="B78" s="84">
        <v>1.2</v>
      </c>
      <c r="C78" s="84">
        <v>5.3</v>
      </c>
      <c r="D78" s="84">
        <v>77.8</v>
      </c>
      <c r="E78" s="84">
        <v>4.9000000000000004</v>
      </c>
      <c r="F78" s="84">
        <v>4.0999999999999996</v>
      </c>
      <c r="G78" s="84">
        <v>1.53</v>
      </c>
      <c r="H78" s="84">
        <v>23.076923076923077</v>
      </c>
      <c r="I78" s="84">
        <v>190</v>
      </c>
      <c r="J78" s="84">
        <v>0.27200000000000002</v>
      </c>
      <c r="K78" s="77" t="s">
        <v>122</v>
      </c>
      <c r="L78" s="86">
        <v>1</v>
      </c>
      <c r="M78" s="4"/>
    </row>
    <row r="79" spans="1:13" ht="15.75" customHeight="1">
      <c r="A79" s="79" t="s">
        <v>60</v>
      </c>
      <c r="B79" s="84">
        <v>0.8</v>
      </c>
      <c r="C79" s="84">
        <v>5.3</v>
      </c>
      <c r="D79" s="84">
        <v>75.2</v>
      </c>
      <c r="E79" s="84">
        <v>4.2</v>
      </c>
      <c r="F79" s="84">
        <v>4.0999999999999996</v>
      </c>
      <c r="G79" s="84">
        <v>1.53</v>
      </c>
      <c r="H79" s="84">
        <v>25.641025641025642</v>
      </c>
      <c r="I79" s="84">
        <v>220</v>
      </c>
      <c r="J79" s="84">
        <v>0.17500000000000002</v>
      </c>
      <c r="K79" s="77" t="s">
        <v>122</v>
      </c>
      <c r="L79" s="86">
        <v>1</v>
      </c>
      <c r="M79" s="4"/>
    </row>
    <row r="80" spans="1:13" ht="15.75" customHeight="1">
      <c r="A80" s="79" t="s">
        <v>62</v>
      </c>
      <c r="B80" s="84">
        <v>1.2</v>
      </c>
      <c r="C80" s="84">
        <v>5.3</v>
      </c>
      <c r="D80" s="84">
        <v>77.8</v>
      </c>
      <c r="E80" s="84">
        <v>4.2</v>
      </c>
      <c r="F80" s="84">
        <v>3.6</v>
      </c>
      <c r="G80" s="84">
        <v>1.53</v>
      </c>
      <c r="H80" s="84">
        <v>20.512820512820515</v>
      </c>
      <c r="I80" s="84">
        <v>290</v>
      </c>
      <c r="J80" s="84">
        <v>0.18099999999999999</v>
      </c>
      <c r="K80" s="77" t="s">
        <v>122</v>
      </c>
      <c r="L80" s="86">
        <v>1</v>
      </c>
      <c r="M80" s="4"/>
    </row>
    <row r="81" spans="1:13" ht="15.75" customHeight="1">
      <c r="A81" s="79" t="s">
        <v>64</v>
      </c>
      <c r="B81" s="84">
        <v>2</v>
      </c>
      <c r="C81" s="84">
        <v>4.5999999999999996</v>
      </c>
      <c r="D81" s="84">
        <v>59</v>
      </c>
      <c r="E81" s="84">
        <v>5.6</v>
      </c>
      <c r="F81" s="84">
        <v>4.3</v>
      </c>
      <c r="G81" s="84">
        <v>1.53</v>
      </c>
      <c r="H81" s="84">
        <v>25.641025641025642</v>
      </c>
      <c r="I81" s="84">
        <v>240</v>
      </c>
      <c r="J81" s="84">
        <v>0.63100000000000012</v>
      </c>
      <c r="K81" s="77" t="s">
        <v>122</v>
      </c>
      <c r="L81" s="86">
        <v>1</v>
      </c>
      <c r="M81" s="4"/>
    </row>
    <row r="82" spans="1:13" ht="15.75" customHeight="1">
      <c r="A82" s="79" t="s">
        <v>66</v>
      </c>
      <c r="B82" s="84">
        <v>1.6</v>
      </c>
      <c r="C82" s="84">
        <v>6.3</v>
      </c>
      <c r="D82" s="84">
        <v>85</v>
      </c>
      <c r="E82" s="84">
        <v>5.6</v>
      </c>
      <c r="F82" s="84">
        <v>6.8</v>
      </c>
      <c r="G82" s="84">
        <v>1.53</v>
      </c>
      <c r="H82" s="84">
        <v>20.512820512820515</v>
      </c>
      <c r="I82" s="84">
        <v>195</v>
      </c>
      <c r="J82" s="84">
        <v>0.27500000000000002</v>
      </c>
      <c r="K82" s="77" t="s">
        <v>122</v>
      </c>
      <c r="L82" s="86">
        <v>1</v>
      </c>
      <c r="M82" s="4"/>
    </row>
    <row r="83" spans="1:13" ht="15.75" customHeight="1">
      <c r="A83" s="79" t="s">
        <v>68</v>
      </c>
      <c r="B83" s="84">
        <v>1.6</v>
      </c>
      <c r="C83" s="84">
        <v>5.8</v>
      </c>
      <c r="D83" s="84">
        <v>74</v>
      </c>
      <c r="E83" s="84">
        <v>6.7</v>
      </c>
      <c r="F83" s="84">
        <v>2.2999999999999998</v>
      </c>
      <c r="G83" s="84">
        <v>1.53</v>
      </c>
      <c r="H83" s="84">
        <v>21.794871794871796</v>
      </c>
      <c r="I83" s="84">
        <v>185</v>
      </c>
      <c r="J83" s="84">
        <v>0.24200000000000002</v>
      </c>
      <c r="K83" s="77" t="s">
        <v>122</v>
      </c>
      <c r="L83" s="86">
        <v>1</v>
      </c>
      <c r="M83" s="4"/>
    </row>
    <row r="84" spans="1:13" ht="15.75" customHeight="1">
      <c r="A84" s="79" t="s">
        <v>70</v>
      </c>
      <c r="B84" s="84">
        <v>0.8</v>
      </c>
      <c r="C84" s="84">
        <v>5.4</v>
      </c>
      <c r="D84" s="84">
        <v>70</v>
      </c>
      <c r="E84" s="84">
        <v>5.6</v>
      </c>
      <c r="F84" s="84">
        <v>2</v>
      </c>
      <c r="G84" s="84">
        <v>2.56</v>
      </c>
      <c r="H84" s="84">
        <v>33.333333333333336</v>
      </c>
      <c r="I84" s="84">
        <v>340</v>
      </c>
      <c r="J84" s="84">
        <v>0.4</v>
      </c>
      <c r="K84" s="77" t="s">
        <v>122</v>
      </c>
      <c r="L84" s="86">
        <v>1</v>
      </c>
      <c r="M84" s="4"/>
    </row>
    <row r="85" spans="1:13" ht="15.75" customHeight="1">
      <c r="A85" s="79" t="s">
        <v>72</v>
      </c>
      <c r="B85" s="84">
        <v>2</v>
      </c>
      <c r="C85" s="84">
        <v>5.8</v>
      </c>
      <c r="D85" s="84">
        <v>77</v>
      </c>
      <c r="E85" s="84">
        <v>7.7</v>
      </c>
      <c r="F85" s="84">
        <v>5.3</v>
      </c>
      <c r="G85" s="84">
        <v>2.56</v>
      </c>
      <c r="H85" s="84">
        <v>30.76923076923077</v>
      </c>
      <c r="I85" s="84">
        <v>230</v>
      </c>
      <c r="J85" s="84">
        <v>0.19700000000000001</v>
      </c>
      <c r="K85" s="77" t="s">
        <v>122</v>
      </c>
      <c r="L85" s="86">
        <v>1</v>
      </c>
      <c r="M85" s="4"/>
    </row>
    <row r="86" spans="1:13" ht="15.75" customHeight="1">
      <c r="A86" s="79" t="s">
        <v>74</v>
      </c>
      <c r="B86" s="84">
        <v>0.8</v>
      </c>
      <c r="C86" s="84">
        <v>4.5999999999999996</v>
      </c>
      <c r="D86" s="84">
        <v>77</v>
      </c>
      <c r="E86" s="84">
        <v>6.7</v>
      </c>
      <c r="F86" s="84">
        <v>3.8</v>
      </c>
      <c r="G86" s="84">
        <v>1.53</v>
      </c>
      <c r="H86" s="84">
        <v>33.333333333333336</v>
      </c>
      <c r="I86" s="84">
        <v>235.41666666666666</v>
      </c>
      <c r="J86" s="84">
        <v>0.18099999999999999</v>
      </c>
      <c r="K86" s="77" t="s">
        <v>122</v>
      </c>
      <c r="L86" s="86">
        <v>1</v>
      </c>
      <c r="M86" s="4"/>
    </row>
    <row r="87" spans="1:13" ht="15.75" customHeight="1">
      <c r="A87" s="79" t="s">
        <v>76</v>
      </c>
      <c r="B87" s="84">
        <v>0.8</v>
      </c>
      <c r="C87" s="84">
        <v>5.4</v>
      </c>
      <c r="D87" s="84">
        <v>74</v>
      </c>
      <c r="E87" s="84">
        <v>6.7</v>
      </c>
      <c r="F87" s="84">
        <v>3.3</v>
      </c>
      <c r="G87" s="84">
        <v>1.53</v>
      </c>
      <c r="H87" s="84">
        <v>30.76923076923077</v>
      </c>
      <c r="I87" s="84">
        <v>235.41666666666663</v>
      </c>
      <c r="J87" s="84">
        <v>0.22800000000000001</v>
      </c>
      <c r="K87" s="77" t="s">
        <v>122</v>
      </c>
      <c r="L87" s="86">
        <v>1</v>
      </c>
      <c r="M87" s="4"/>
    </row>
    <row r="88" spans="1:13" ht="15.75" customHeight="1">
      <c r="B88" s="12"/>
      <c r="C88" s="12"/>
      <c r="D88" s="12"/>
      <c r="E88" s="12"/>
      <c r="F88" s="14"/>
      <c r="G88" s="12"/>
      <c r="H88" s="13"/>
      <c r="I88" s="12"/>
      <c r="J88" s="12"/>
      <c r="K88" s="12"/>
    </row>
    <row r="89" spans="1:13" ht="15.75" customHeight="1">
      <c r="B89" s="10"/>
      <c r="C89" s="11"/>
      <c r="D89" s="12"/>
      <c r="E89" s="12"/>
      <c r="F89" s="12"/>
      <c r="G89" s="12"/>
      <c r="H89" s="12"/>
      <c r="I89" s="12"/>
      <c r="J89" s="12"/>
      <c r="K89" s="12"/>
    </row>
    <row r="90" spans="1:13" ht="15.75" customHeight="1">
      <c r="B90" s="10"/>
      <c r="C90" s="11"/>
      <c r="D90" s="12"/>
      <c r="E90" s="12"/>
      <c r="F90" s="12"/>
      <c r="G90" s="12"/>
      <c r="H90" s="12"/>
      <c r="I90" s="12"/>
      <c r="J90" s="12"/>
      <c r="K90" s="12"/>
    </row>
    <row r="91" spans="1:13" ht="15.75" customHeight="1">
      <c r="B91" s="10"/>
      <c r="C91" s="11"/>
      <c r="D91" s="12"/>
      <c r="E91" s="12"/>
      <c r="F91" s="12"/>
      <c r="G91" s="12"/>
      <c r="H91" s="12"/>
      <c r="I91" s="12"/>
      <c r="J91" s="12"/>
      <c r="K91" s="12"/>
    </row>
    <row r="92" spans="1:13" ht="15.75" customHeight="1">
      <c r="B92" s="10"/>
      <c r="C92" s="11"/>
      <c r="D92" s="12"/>
      <c r="E92" s="12"/>
      <c r="F92" s="12"/>
      <c r="G92" s="12"/>
      <c r="H92" s="12"/>
      <c r="I92" s="12"/>
      <c r="J92" s="12"/>
      <c r="K92" s="12"/>
    </row>
    <row r="93" spans="1:13" ht="15.75" customHeight="1">
      <c r="B93" s="10"/>
      <c r="C93" s="11"/>
      <c r="D93" s="12"/>
      <c r="E93" s="12"/>
      <c r="F93" s="12"/>
      <c r="G93" s="12"/>
      <c r="H93" s="12"/>
      <c r="I93" s="12"/>
      <c r="J93" s="12"/>
      <c r="K93" s="12"/>
    </row>
    <row r="94" spans="1:13" ht="15.75" customHeight="1">
      <c r="B94" s="10"/>
      <c r="C94" s="11"/>
      <c r="D94" s="12"/>
      <c r="E94" s="12"/>
      <c r="F94" s="12"/>
      <c r="G94" s="12"/>
      <c r="H94" s="12"/>
      <c r="I94" s="12"/>
      <c r="J94" s="12"/>
      <c r="K94" s="12"/>
    </row>
    <row r="95" spans="1:13" ht="15.75" customHeight="1">
      <c r="B95" s="10"/>
      <c r="C95" s="11"/>
      <c r="D95" s="12"/>
      <c r="E95" s="12"/>
      <c r="F95" s="12"/>
      <c r="G95" s="12"/>
      <c r="H95" s="12"/>
      <c r="I95" s="12"/>
      <c r="J95" s="12"/>
      <c r="K95" s="12"/>
    </row>
    <row r="96" spans="1:13" ht="15.75" customHeight="1">
      <c r="B96" s="10"/>
      <c r="C96" s="11"/>
      <c r="D96" s="12"/>
      <c r="E96" s="12"/>
      <c r="F96" s="12"/>
      <c r="G96" s="12"/>
      <c r="H96" s="12"/>
      <c r="I96" s="12"/>
      <c r="J96" s="12"/>
      <c r="K96" s="12"/>
    </row>
    <row r="97" spans="2:11" ht="15.75" customHeight="1">
      <c r="B97" s="10"/>
      <c r="C97" s="11"/>
      <c r="D97" s="12"/>
      <c r="E97" s="12"/>
      <c r="F97" s="12"/>
      <c r="G97" s="12"/>
      <c r="H97" s="12"/>
      <c r="I97" s="12"/>
      <c r="J97" s="12"/>
      <c r="K97" s="12"/>
    </row>
    <row r="98" spans="2:11" ht="15.75" customHeight="1">
      <c r="B98" s="10"/>
      <c r="C98" s="11"/>
      <c r="D98" s="12"/>
      <c r="E98" s="12"/>
      <c r="F98" s="12"/>
      <c r="G98" s="12"/>
      <c r="H98" s="12"/>
      <c r="I98" s="12"/>
      <c r="J98" s="12"/>
      <c r="K98" s="12"/>
    </row>
    <row r="99" spans="2:11" ht="15.75" customHeight="1">
      <c r="B99" s="10"/>
      <c r="C99" s="11"/>
      <c r="D99" s="12"/>
      <c r="E99" s="12"/>
      <c r="F99" s="12"/>
      <c r="G99" s="12"/>
      <c r="H99" s="12"/>
      <c r="I99" s="12"/>
      <c r="J99" s="12"/>
      <c r="K99" s="12"/>
    </row>
    <row r="100" spans="2:11" ht="15.75" customHeight="1">
      <c r="B100" s="10"/>
      <c r="C100" s="11"/>
      <c r="D100" s="12"/>
      <c r="E100" s="12"/>
      <c r="F100" s="12"/>
      <c r="G100" s="12"/>
      <c r="H100" s="12"/>
      <c r="I100" s="12"/>
      <c r="J100" s="12"/>
      <c r="K100" s="12"/>
    </row>
    <row r="101" spans="2:11" ht="15.75" customHeight="1">
      <c r="B101" s="10"/>
      <c r="C101" s="11"/>
      <c r="D101" s="12"/>
      <c r="E101" s="12"/>
      <c r="F101" s="12"/>
      <c r="G101" s="12"/>
      <c r="H101" s="12"/>
      <c r="I101" s="12"/>
      <c r="J101" s="12"/>
      <c r="K101" s="12"/>
    </row>
    <row r="102" spans="2:11" ht="15.75" customHeight="1">
      <c r="B102" s="10"/>
      <c r="C102" s="11"/>
      <c r="D102" s="12"/>
      <c r="E102" s="12"/>
      <c r="F102" s="12"/>
      <c r="G102" s="12"/>
      <c r="H102" s="12"/>
      <c r="I102" s="12"/>
      <c r="J102" s="12"/>
      <c r="K102" s="12"/>
    </row>
    <row r="103" spans="2:11" ht="15.75" customHeight="1">
      <c r="B103" s="10"/>
      <c r="C103" s="11"/>
      <c r="D103" s="12"/>
      <c r="E103" s="12"/>
      <c r="F103" s="12"/>
      <c r="G103" s="12"/>
      <c r="H103" s="12"/>
      <c r="I103" s="12"/>
      <c r="J103" s="12"/>
      <c r="K103" s="12"/>
    </row>
    <row r="104" spans="2:11" ht="15.75" customHeight="1">
      <c r="B104" s="10"/>
      <c r="C104" s="11"/>
      <c r="D104" s="12"/>
      <c r="E104" s="12"/>
      <c r="F104" s="12"/>
      <c r="G104" s="12"/>
      <c r="H104" s="12"/>
      <c r="I104" s="12"/>
      <c r="J104" s="12"/>
      <c r="K104" s="12"/>
    </row>
    <row r="105" spans="2:11" ht="15.75" customHeight="1">
      <c r="B105" s="10"/>
      <c r="C105" s="11"/>
      <c r="D105" s="12"/>
      <c r="E105" s="12"/>
      <c r="F105" s="12"/>
      <c r="G105" s="12"/>
      <c r="H105" s="12"/>
      <c r="I105" s="12"/>
      <c r="J105" s="12"/>
      <c r="K105" s="12"/>
    </row>
    <row r="106" spans="2:11" ht="15.75" customHeight="1">
      <c r="B106" s="10"/>
      <c r="C106" s="11"/>
      <c r="D106" s="12"/>
      <c r="E106" s="12"/>
      <c r="F106" s="12"/>
      <c r="G106" s="12"/>
      <c r="H106" s="12"/>
      <c r="I106" s="12"/>
      <c r="J106" s="12"/>
      <c r="K106" s="12"/>
    </row>
    <row r="107" spans="2:11" ht="15.75" customHeight="1">
      <c r="B107" s="10"/>
      <c r="C107" s="11"/>
      <c r="D107" s="12"/>
      <c r="E107" s="12"/>
      <c r="F107" s="12"/>
      <c r="G107" s="12"/>
      <c r="H107" s="12"/>
      <c r="I107" s="12"/>
      <c r="J107" s="12"/>
      <c r="K107" s="12"/>
    </row>
    <row r="108" spans="2:11" ht="15.75" customHeight="1">
      <c r="B108" s="10"/>
      <c r="C108" s="11"/>
      <c r="D108" s="12"/>
      <c r="E108" s="12"/>
      <c r="F108" s="12"/>
      <c r="G108" s="12"/>
      <c r="H108" s="12"/>
      <c r="I108" s="12"/>
      <c r="J108" s="12"/>
      <c r="K108" s="12"/>
    </row>
    <row r="109" spans="2:11" ht="15.75" customHeight="1">
      <c r="B109" s="10"/>
      <c r="C109" s="11"/>
      <c r="D109" s="12"/>
      <c r="E109" s="12"/>
      <c r="F109" s="12"/>
      <c r="G109" s="12"/>
      <c r="H109" s="12"/>
      <c r="I109" s="12"/>
      <c r="J109" s="12"/>
      <c r="K109" s="12"/>
    </row>
    <row r="110" spans="2:11" ht="15.75" customHeight="1">
      <c r="B110" s="10"/>
      <c r="C110" s="11"/>
      <c r="D110" s="12"/>
      <c r="E110" s="12"/>
      <c r="F110" s="12"/>
      <c r="G110" s="12"/>
      <c r="H110" s="12"/>
      <c r="I110" s="12"/>
      <c r="J110" s="12"/>
      <c r="K110" s="12"/>
    </row>
    <row r="111" spans="2:11" ht="15.75" customHeight="1">
      <c r="B111" s="10"/>
      <c r="C111" s="11"/>
      <c r="D111" s="12"/>
      <c r="E111" s="12"/>
      <c r="F111" s="12"/>
      <c r="G111" s="12"/>
      <c r="H111" s="12"/>
      <c r="I111" s="12"/>
      <c r="J111" s="12"/>
      <c r="K111" s="12"/>
    </row>
    <row r="112" spans="2:11" ht="15.75" customHeight="1">
      <c r="B112" s="10"/>
      <c r="C112" s="11"/>
      <c r="D112" s="12"/>
      <c r="E112" s="12"/>
      <c r="F112" s="12"/>
      <c r="G112" s="12"/>
      <c r="H112" s="12"/>
      <c r="I112" s="12"/>
      <c r="J112" s="12"/>
      <c r="K112" s="12"/>
    </row>
    <row r="113" spans="2:11" ht="15.75" customHeight="1">
      <c r="B113" s="10"/>
      <c r="C113" s="11"/>
      <c r="D113" s="12"/>
      <c r="E113" s="12"/>
      <c r="F113" s="12"/>
      <c r="G113" s="12"/>
      <c r="H113" s="12"/>
      <c r="I113" s="12"/>
      <c r="J113" s="12"/>
      <c r="K113" s="12"/>
    </row>
    <row r="114" spans="2:11" ht="15.75" customHeight="1">
      <c r="B114" s="10"/>
      <c r="C114" s="11"/>
      <c r="D114" s="12"/>
      <c r="E114" s="12"/>
      <c r="F114" s="12"/>
      <c r="G114" s="12"/>
      <c r="H114" s="12"/>
      <c r="I114" s="12"/>
      <c r="J114" s="12"/>
      <c r="K114" s="12"/>
    </row>
    <row r="115" spans="2:11" ht="15.75" customHeight="1">
      <c r="B115" s="10"/>
      <c r="C115" s="11"/>
      <c r="D115" s="12"/>
      <c r="E115" s="12"/>
      <c r="F115" s="12"/>
      <c r="G115" s="12"/>
      <c r="H115" s="12"/>
      <c r="I115" s="12"/>
      <c r="J115" s="12"/>
      <c r="K115" s="12"/>
    </row>
    <row r="116" spans="2:11" ht="15.75" customHeight="1">
      <c r="B116" s="10"/>
      <c r="C116" s="11"/>
      <c r="D116" s="12"/>
      <c r="E116" s="12"/>
      <c r="F116" s="12"/>
      <c r="G116" s="12"/>
      <c r="H116" s="12"/>
      <c r="I116" s="12"/>
      <c r="J116" s="12"/>
      <c r="K116" s="12"/>
    </row>
    <row r="117" spans="2:11" ht="15.75" customHeight="1">
      <c r="B117" s="10"/>
      <c r="C117" s="11"/>
      <c r="D117" s="12"/>
      <c r="E117" s="12"/>
      <c r="F117" s="12"/>
      <c r="G117" s="12"/>
      <c r="H117" s="12"/>
      <c r="I117" s="12"/>
      <c r="J117" s="12"/>
      <c r="K117" s="12"/>
    </row>
    <row r="118" spans="2:11" ht="15.75" customHeight="1">
      <c r="B118" s="10"/>
      <c r="C118" s="11"/>
      <c r="D118" s="12"/>
      <c r="E118" s="12"/>
      <c r="F118" s="12"/>
      <c r="G118" s="12"/>
      <c r="H118" s="12"/>
      <c r="I118" s="12"/>
      <c r="J118" s="12"/>
      <c r="K118" s="12"/>
    </row>
    <row r="119" spans="2:11" ht="15.75" customHeight="1">
      <c r="B119" s="10"/>
      <c r="C119" s="11"/>
      <c r="D119" s="12"/>
      <c r="E119" s="12"/>
      <c r="F119" s="12"/>
      <c r="G119" s="12"/>
      <c r="H119" s="12"/>
      <c r="I119" s="12"/>
      <c r="J119" s="12"/>
      <c r="K119" s="12"/>
    </row>
    <row r="120" spans="2:11" ht="15.75" customHeight="1"/>
    <row r="121" spans="2:11" ht="15.75" customHeight="1"/>
    <row r="122" spans="2:11" ht="15.75" customHeight="1"/>
    <row r="123" spans="2:11" ht="15.75" customHeight="1"/>
    <row r="124" spans="2:11" ht="15.75" customHeight="1"/>
    <row r="125" spans="2:11" ht="15.75" customHeight="1"/>
    <row r="126" spans="2:11" ht="15.75" customHeight="1"/>
    <row r="127" spans="2:11" ht="15.75" customHeight="1"/>
    <row r="128" spans="2:1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34" zoomScaleNormal="100" workbookViewId="0">
      <selection activeCell="C40" sqref="C40:C41"/>
    </sheetView>
  </sheetViews>
  <sheetFormatPr defaultColWidth="14.42578125" defaultRowHeight="15" customHeight="1"/>
  <cols>
    <col min="1" max="1" width="18.28515625" customWidth="1"/>
    <col min="2" max="3" width="8.7109375" customWidth="1"/>
    <col min="4" max="4" width="12.42578125" customWidth="1"/>
    <col min="5" max="5" width="8.7109375" customWidth="1"/>
    <col min="6" max="6" width="12.5703125" customWidth="1"/>
    <col min="7" max="14" width="8.7109375" customWidth="1"/>
    <col min="15" max="15" width="16.28515625" customWidth="1"/>
    <col min="16" max="17" width="8.7109375" customWidth="1"/>
    <col min="18" max="18" width="13.5703125" customWidth="1"/>
    <col min="19" max="19" width="8.7109375" customWidth="1"/>
    <col min="20" max="20" width="12.140625" customWidth="1"/>
    <col min="21" max="26" width="8.7109375" customWidth="1"/>
  </cols>
  <sheetData>
    <row r="1" spans="1:26">
      <c r="B1" s="1"/>
    </row>
    <row r="3" spans="1:26">
      <c r="B3" s="42" t="s">
        <v>0</v>
      </c>
      <c r="C3" s="43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t="s">
        <v>8</v>
      </c>
      <c r="B4" s="1" t="s">
        <v>2</v>
      </c>
      <c r="C4" s="1" t="s">
        <v>3</v>
      </c>
      <c r="D4" s="42" t="s">
        <v>100</v>
      </c>
      <c r="E4" s="42" t="s">
        <v>101</v>
      </c>
      <c r="F4" s="42" t="s">
        <v>102</v>
      </c>
      <c r="G4" s="42" t="s">
        <v>103</v>
      </c>
      <c r="H4" s="42" t="s">
        <v>104</v>
      </c>
      <c r="I4" s="15"/>
      <c r="J4" s="15"/>
      <c r="K4" s="15"/>
      <c r="L4" s="15"/>
      <c r="N4" s="42" t="s">
        <v>1</v>
      </c>
      <c r="O4" s="43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>
        <v>0</v>
      </c>
      <c r="B5" s="1">
        <v>1</v>
      </c>
      <c r="C5" s="1" t="s">
        <v>9</v>
      </c>
      <c r="D5" s="16"/>
      <c r="E5" s="16"/>
      <c r="F5" s="16"/>
      <c r="G5" s="16"/>
      <c r="H5" s="16"/>
      <c r="I5" s="15"/>
      <c r="J5" s="15"/>
      <c r="K5" s="15"/>
      <c r="L5" s="15"/>
      <c r="M5" t="s">
        <v>116</v>
      </c>
      <c r="N5" s="1" t="s">
        <v>2</v>
      </c>
      <c r="O5" s="1" t="s">
        <v>3</v>
      </c>
      <c r="P5" s="16" t="s">
        <v>100</v>
      </c>
      <c r="Q5" s="16" t="s">
        <v>101</v>
      </c>
      <c r="R5" s="16" t="s">
        <v>102</v>
      </c>
      <c r="S5" s="16" t="s">
        <v>103</v>
      </c>
      <c r="T5" s="16" t="s">
        <v>104</v>
      </c>
      <c r="U5" s="17"/>
      <c r="V5" s="17"/>
      <c r="W5" s="18"/>
      <c r="X5" s="18"/>
      <c r="Y5" s="19"/>
      <c r="Z5" s="19"/>
    </row>
    <row r="6" spans="1:26">
      <c r="A6">
        <v>0</v>
      </c>
      <c r="B6" s="1">
        <v>2</v>
      </c>
      <c r="C6" s="1" t="s">
        <v>13</v>
      </c>
      <c r="D6" s="13">
        <v>18.5</v>
      </c>
      <c r="E6" s="13">
        <v>22.14</v>
      </c>
      <c r="F6" s="13">
        <v>40.32</v>
      </c>
      <c r="G6" s="13">
        <v>9.92</v>
      </c>
      <c r="H6" s="13">
        <v>9.1199999999999992</v>
      </c>
      <c r="I6" s="23"/>
      <c r="J6" s="23"/>
      <c r="K6" s="24"/>
      <c r="L6" s="24"/>
      <c r="M6">
        <v>2</v>
      </c>
      <c r="O6" s="4" t="s">
        <v>12</v>
      </c>
      <c r="P6" s="25"/>
      <c r="Q6" s="25"/>
      <c r="R6" s="24"/>
      <c r="S6" s="26"/>
      <c r="T6" s="24"/>
      <c r="U6" s="26"/>
      <c r="V6" s="26"/>
      <c r="W6" s="23"/>
      <c r="X6" s="23"/>
      <c r="Y6" s="24"/>
      <c r="Z6" s="24"/>
    </row>
    <row r="7" spans="1:26">
      <c r="A7">
        <v>0</v>
      </c>
      <c r="B7" s="1">
        <v>3</v>
      </c>
      <c r="C7" s="1" t="s">
        <v>15</v>
      </c>
      <c r="D7" s="13">
        <v>13.86</v>
      </c>
      <c r="E7" s="13">
        <v>28.41</v>
      </c>
      <c r="F7" s="13">
        <v>35.159999999999997</v>
      </c>
      <c r="G7" s="13">
        <v>11.68</v>
      </c>
      <c r="H7" s="13">
        <v>10.89</v>
      </c>
      <c r="I7" s="23"/>
      <c r="J7" s="23"/>
      <c r="K7" s="24"/>
      <c r="L7" s="24"/>
      <c r="M7">
        <v>2</v>
      </c>
      <c r="O7" s="4" t="s">
        <v>14</v>
      </c>
      <c r="P7" s="25"/>
      <c r="Q7" s="25"/>
      <c r="R7" s="28"/>
      <c r="S7" s="26"/>
      <c r="T7" s="24"/>
      <c r="U7" s="26"/>
      <c r="V7" s="26"/>
      <c r="W7" s="23"/>
      <c r="X7" s="23"/>
      <c r="Y7" s="24"/>
      <c r="Z7" s="24"/>
    </row>
    <row r="8" spans="1:26">
      <c r="A8">
        <v>0</v>
      </c>
      <c r="B8" s="1">
        <v>4</v>
      </c>
      <c r="C8" s="1" t="s">
        <v>17</v>
      </c>
      <c r="D8" s="13">
        <v>11.44</v>
      </c>
      <c r="E8" s="13">
        <v>22.15</v>
      </c>
      <c r="F8" s="13">
        <v>41.55</v>
      </c>
      <c r="G8" s="13">
        <v>15.75</v>
      </c>
      <c r="H8" s="13">
        <v>9.11</v>
      </c>
      <c r="I8" s="25"/>
      <c r="J8" s="23"/>
      <c r="K8" s="24"/>
      <c r="L8" s="24"/>
      <c r="M8">
        <v>2</v>
      </c>
      <c r="N8" s="3">
        <v>36</v>
      </c>
      <c r="O8" s="1" t="s">
        <v>16</v>
      </c>
      <c r="P8" s="13">
        <v>22.96</v>
      </c>
      <c r="Q8" s="13">
        <v>20.5</v>
      </c>
      <c r="R8" s="13">
        <v>20.149999999999999</v>
      </c>
      <c r="S8" s="13">
        <v>16.350000000000001</v>
      </c>
      <c r="T8" s="13">
        <v>20.04</v>
      </c>
      <c r="U8" s="48"/>
      <c r="V8" s="26"/>
      <c r="W8" s="23"/>
      <c r="X8" s="23"/>
      <c r="Y8" s="24"/>
      <c r="Z8" s="24"/>
    </row>
    <row r="9" spans="1:26">
      <c r="A9">
        <v>0</v>
      </c>
      <c r="B9" s="1">
        <v>5</v>
      </c>
      <c r="C9" s="1" t="s">
        <v>19</v>
      </c>
      <c r="D9" s="13">
        <v>16.61</v>
      </c>
      <c r="E9" s="13">
        <v>17.600000000000001</v>
      </c>
      <c r="F9" s="13">
        <v>47.41</v>
      </c>
      <c r="G9" s="13">
        <v>8.68</v>
      </c>
      <c r="H9" s="13">
        <v>9.6999999999999993</v>
      </c>
      <c r="I9" s="23"/>
      <c r="J9" s="23"/>
      <c r="K9" s="24"/>
      <c r="L9" s="24"/>
      <c r="M9">
        <v>2</v>
      </c>
      <c r="N9" s="3">
        <v>37</v>
      </c>
      <c r="O9" s="1" t="s">
        <v>18</v>
      </c>
      <c r="P9" s="13">
        <v>20.010000000000002</v>
      </c>
      <c r="Q9" s="13">
        <v>19.72</v>
      </c>
      <c r="R9" s="13">
        <v>26.32</v>
      </c>
      <c r="S9" s="13">
        <v>12.87</v>
      </c>
      <c r="T9" s="13">
        <v>21.08</v>
      </c>
      <c r="U9" s="48"/>
      <c r="V9" s="26"/>
      <c r="W9" s="23"/>
      <c r="X9" s="23"/>
      <c r="Y9" s="24"/>
      <c r="Z9" s="24"/>
    </row>
    <row r="10" spans="1:26">
      <c r="A10">
        <v>0</v>
      </c>
      <c r="B10" s="1">
        <v>6</v>
      </c>
      <c r="C10" s="1" t="s">
        <v>22</v>
      </c>
      <c r="D10" s="13">
        <v>17.11</v>
      </c>
      <c r="E10" s="13">
        <v>38.29</v>
      </c>
      <c r="F10" s="13">
        <v>11.49</v>
      </c>
      <c r="G10" s="13">
        <v>18.14</v>
      </c>
      <c r="H10" s="13">
        <v>14.97</v>
      </c>
      <c r="I10" s="23"/>
      <c r="J10" s="23"/>
      <c r="K10" s="24"/>
      <c r="L10" s="24"/>
      <c r="M10">
        <v>2</v>
      </c>
      <c r="N10" s="3">
        <v>38</v>
      </c>
      <c r="O10" s="1" t="s">
        <v>21</v>
      </c>
      <c r="P10" s="13">
        <v>26.05</v>
      </c>
      <c r="Q10" s="13">
        <v>21.96</v>
      </c>
      <c r="R10" s="13">
        <v>15.34</v>
      </c>
      <c r="S10" s="13">
        <v>19.04</v>
      </c>
      <c r="T10" s="13">
        <v>17.61</v>
      </c>
      <c r="U10" s="48"/>
    </row>
    <row r="11" spans="1:26">
      <c r="A11">
        <v>0</v>
      </c>
      <c r="B11" s="1">
        <v>7</v>
      </c>
      <c r="C11" s="1" t="s">
        <v>26</v>
      </c>
      <c r="D11" s="13">
        <v>19.38</v>
      </c>
      <c r="E11" s="13">
        <v>25.68</v>
      </c>
      <c r="F11" s="13">
        <v>30.69</v>
      </c>
      <c r="G11" s="13">
        <v>12.71</v>
      </c>
      <c r="H11" s="13">
        <v>11.54</v>
      </c>
      <c r="M11">
        <v>2</v>
      </c>
      <c r="N11" s="3">
        <v>39</v>
      </c>
      <c r="O11" s="1" t="s">
        <v>25</v>
      </c>
      <c r="P11" s="13">
        <v>17.21</v>
      </c>
      <c r="Q11" s="13">
        <v>26.29</v>
      </c>
      <c r="R11" s="13">
        <v>22.91</v>
      </c>
      <c r="S11" s="13">
        <v>17.510000000000002</v>
      </c>
      <c r="T11" s="13">
        <v>16.079999999999998</v>
      </c>
      <c r="U11" s="48"/>
    </row>
    <row r="12" spans="1:26">
      <c r="A12">
        <v>0</v>
      </c>
      <c r="B12" s="4">
        <v>8</v>
      </c>
      <c r="C12" s="4" t="s">
        <v>28</v>
      </c>
      <c r="I12" s="23"/>
      <c r="J12" s="23"/>
      <c r="K12" s="24"/>
      <c r="L12" s="24"/>
      <c r="M12">
        <v>2</v>
      </c>
      <c r="N12" s="3">
        <v>40</v>
      </c>
      <c r="O12" s="1" t="s">
        <v>27</v>
      </c>
      <c r="P12" s="13">
        <v>17.239999999999998</v>
      </c>
      <c r="Q12" s="13">
        <v>23.12</v>
      </c>
      <c r="R12" s="13">
        <v>22.86</v>
      </c>
      <c r="S12" s="13">
        <v>19.84</v>
      </c>
      <c r="T12" s="13">
        <v>16.940000000000001</v>
      </c>
      <c r="U12" s="48"/>
    </row>
    <row r="13" spans="1:26">
      <c r="A13">
        <v>0</v>
      </c>
      <c r="B13" s="4">
        <v>9</v>
      </c>
      <c r="C13" s="4" t="s">
        <v>28</v>
      </c>
      <c r="I13" s="23"/>
      <c r="J13" s="23"/>
      <c r="K13" s="24"/>
      <c r="L13" s="24"/>
      <c r="M13">
        <v>2</v>
      </c>
      <c r="N13" s="3">
        <v>41</v>
      </c>
      <c r="O13" s="1" t="s">
        <v>29</v>
      </c>
      <c r="P13" s="13">
        <v>25.1</v>
      </c>
      <c r="Q13" s="13">
        <v>28.78</v>
      </c>
      <c r="R13" s="13">
        <v>21.07</v>
      </c>
      <c r="S13" s="13">
        <v>12.07</v>
      </c>
      <c r="T13" s="13">
        <v>12.98</v>
      </c>
      <c r="U13" s="48"/>
    </row>
    <row r="14" spans="1:26">
      <c r="A14">
        <v>0</v>
      </c>
      <c r="B14" s="1">
        <v>10</v>
      </c>
      <c r="C14" s="1" t="s">
        <v>31</v>
      </c>
      <c r="D14" s="13">
        <v>15.16</v>
      </c>
      <c r="E14" s="13">
        <v>21.94</v>
      </c>
      <c r="F14" s="13">
        <v>34.21</v>
      </c>
      <c r="G14" s="13">
        <v>13.59</v>
      </c>
      <c r="H14" s="13">
        <v>15.1</v>
      </c>
      <c r="I14" s="31"/>
      <c r="J14" s="18"/>
      <c r="K14" s="32"/>
      <c r="L14" s="19"/>
      <c r="M14">
        <v>2</v>
      </c>
      <c r="N14" s="3">
        <v>42</v>
      </c>
      <c r="O14" s="1" t="s">
        <v>30</v>
      </c>
      <c r="P14" s="13">
        <v>17.48</v>
      </c>
      <c r="Q14" s="13">
        <v>31.21</v>
      </c>
      <c r="R14" s="13">
        <v>22.17</v>
      </c>
      <c r="S14" s="13">
        <v>15.14</v>
      </c>
      <c r="T14" s="13">
        <v>14</v>
      </c>
      <c r="U14" s="48"/>
    </row>
    <row r="15" spans="1:26">
      <c r="A15">
        <v>0</v>
      </c>
      <c r="B15" s="1">
        <v>11</v>
      </c>
      <c r="C15" s="1" t="s">
        <v>33</v>
      </c>
      <c r="D15" s="13">
        <v>19.670000000000002</v>
      </c>
      <c r="E15" s="13">
        <v>23.96</v>
      </c>
      <c r="F15" s="13">
        <v>17.47</v>
      </c>
      <c r="G15" s="13">
        <v>15.11</v>
      </c>
      <c r="H15" s="13">
        <v>23.79</v>
      </c>
      <c r="I15" s="23"/>
      <c r="J15" s="23"/>
      <c r="K15" s="24"/>
      <c r="L15" s="24"/>
      <c r="M15">
        <v>2</v>
      </c>
      <c r="N15" s="3">
        <v>43</v>
      </c>
      <c r="O15" s="1" t="s">
        <v>32</v>
      </c>
      <c r="P15" s="13">
        <v>9.89</v>
      </c>
      <c r="Q15" s="13">
        <v>20.58</v>
      </c>
      <c r="R15" s="13">
        <v>31.21</v>
      </c>
      <c r="S15" s="13">
        <v>14.38</v>
      </c>
      <c r="T15" s="13">
        <v>23.94</v>
      </c>
      <c r="U15" s="48"/>
    </row>
    <row r="16" spans="1:26">
      <c r="A16">
        <v>0</v>
      </c>
      <c r="B16" s="1">
        <v>12</v>
      </c>
      <c r="C16" s="1" t="s">
        <v>35</v>
      </c>
      <c r="D16" s="13">
        <v>13.76</v>
      </c>
      <c r="E16" s="13">
        <v>24.52</v>
      </c>
      <c r="F16" s="13">
        <v>37.78</v>
      </c>
      <c r="G16" s="13">
        <v>15.75</v>
      </c>
      <c r="H16" s="13">
        <v>8.19</v>
      </c>
      <c r="I16" s="23"/>
      <c r="J16" s="23"/>
      <c r="K16" s="24"/>
      <c r="L16" s="24"/>
      <c r="M16">
        <v>2</v>
      </c>
      <c r="N16" s="3">
        <v>44</v>
      </c>
      <c r="O16" s="1" t="s">
        <v>34</v>
      </c>
      <c r="P16" s="13">
        <v>14.4</v>
      </c>
      <c r="Q16" s="13">
        <v>28.35</v>
      </c>
      <c r="R16" s="13">
        <v>27.68</v>
      </c>
      <c r="S16" s="13">
        <v>11.54</v>
      </c>
      <c r="T16" s="13">
        <v>18.03</v>
      </c>
      <c r="U16" s="48"/>
    </row>
    <row r="17" spans="1:26">
      <c r="A17">
        <v>0</v>
      </c>
      <c r="B17" s="1">
        <v>13</v>
      </c>
      <c r="C17" s="1" t="s">
        <v>37</v>
      </c>
      <c r="D17" s="13">
        <v>16.93</v>
      </c>
      <c r="E17" s="13">
        <v>24.28</v>
      </c>
      <c r="F17" s="13">
        <v>37.979999999999997</v>
      </c>
      <c r="G17" s="13">
        <v>12.32</v>
      </c>
      <c r="H17" s="13">
        <v>8.49</v>
      </c>
      <c r="M17">
        <v>2</v>
      </c>
      <c r="O17" s="4" t="s">
        <v>36</v>
      </c>
      <c r="U17" s="48"/>
    </row>
    <row r="18" spans="1:26">
      <c r="A18">
        <v>0</v>
      </c>
      <c r="B18" s="1">
        <v>14</v>
      </c>
      <c r="C18" s="1" t="s">
        <v>39</v>
      </c>
      <c r="D18" s="13">
        <v>18.62</v>
      </c>
      <c r="E18" s="13">
        <v>24.99</v>
      </c>
      <c r="F18" s="13">
        <v>30.09</v>
      </c>
      <c r="G18" s="13">
        <v>17.649999999999999</v>
      </c>
      <c r="H18" s="13">
        <v>8.65</v>
      </c>
      <c r="I18" s="23"/>
      <c r="J18" s="23"/>
      <c r="K18" s="24"/>
      <c r="L18" s="24"/>
      <c r="M18">
        <v>2</v>
      </c>
      <c r="O18" s="4" t="s">
        <v>38</v>
      </c>
      <c r="P18" s="25"/>
      <c r="Q18" s="25"/>
      <c r="R18" s="24"/>
      <c r="S18" s="26"/>
      <c r="T18" s="24"/>
      <c r="U18" s="48"/>
      <c r="V18" s="26"/>
      <c r="W18" s="23"/>
      <c r="X18" s="23"/>
      <c r="Y18" s="24"/>
      <c r="Z18" s="24"/>
    </row>
    <row r="19" spans="1:26">
      <c r="A19">
        <v>0</v>
      </c>
      <c r="B19" s="4">
        <v>15</v>
      </c>
      <c r="C19" s="4" t="s">
        <v>28</v>
      </c>
      <c r="I19" s="23"/>
      <c r="J19" s="23"/>
      <c r="K19" s="24"/>
      <c r="L19" s="24"/>
      <c r="M19">
        <v>2</v>
      </c>
      <c r="O19" s="4" t="s">
        <v>40</v>
      </c>
      <c r="P19" s="25"/>
      <c r="Q19" s="25"/>
      <c r="R19" s="24"/>
      <c r="S19" s="26"/>
      <c r="T19" s="24"/>
      <c r="U19" s="48"/>
      <c r="V19" s="26"/>
      <c r="W19" s="23"/>
      <c r="X19" s="23"/>
      <c r="Y19" s="24"/>
      <c r="Z19" s="24"/>
    </row>
    <row r="20" spans="1:26">
      <c r="A20">
        <v>0</v>
      </c>
      <c r="B20" s="4">
        <v>16</v>
      </c>
      <c r="C20" s="4" t="s">
        <v>28</v>
      </c>
      <c r="I20" s="25"/>
      <c r="J20" s="23"/>
      <c r="K20" s="24"/>
      <c r="L20" s="24"/>
      <c r="M20">
        <v>2</v>
      </c>
      <c r="O20" s="4" t="s">
        <v>41</v>
      </c>
      <c r="P20" s="31"/>
      <c r="Q20" s="31"/>
      <c r="R20" s="32"/>
      <c r="S20" s="17"/>
      <c r="T20" s="19"/>
      <c r="U20" s="48"/>
      <c r="V20" s="17"/>
      <c r="W20" s="31"/>
      <c r="X20" s="18"/>
      <c r="Y20" s="19"/>
      <c r="Z20" s="19"/>
    </row>
    <row r="21" spans="1:26" ht="15.75" customHeight="1">
      <c r="A21">
        <v>0</v>
      </c>
      <c r="B21" s="1">
        <v>17</v>
      </c>
      <c r="C21" s="1" t="s">
        <v>43</v>
      </c>
      <c r="D21" s="46">
        <v>20.149999999999999</v>
      </c>
      <c r="E21" s="13">
        <v>19.350000000000001</v>
      </c>
      <c r="F21" s="13">
        <v>32.04</v>
      </c>
      <c r="G21" s="13">
        <v>16.170000000000002</v>
      </c>
      <c r="H21" s="13">
        <v>12.29</v>
      </c>
      <c r="I21" s="44"/>
      <c r="J21" s="45"/>
      <c r="K21" s="24"/>
      <c r="L21" s="24"/>
      <c r="M21">
        <v>2</v>
      </c>
      <c r="O21" s="4" t="s">
        <v>42</v>
      </c>
      <c r="P21" s="31"/>
      <c r="Q21" s="31"/>
      <c r="R21" s="32"/>
      <c r="S21" s="17"/>
      <c r="T21" s="19"/>
      <c r="U21" s="48"/>
      <c r="V21" s="17"/>
      <c r="W21" s="18"/>
      <c r="X21" s="18"/>
      <c r="Y21" s="19"/>
      <c r="Z21" s="19"/>
    </row>
    <row r="22" spans="1:26" ht="15.75" customHeight="1">
      <c r="A22">
        <v>0</v>
      </c>
      <c r="B22" s="1">
        <v>18</v>
      </c>
      <c r="C22" s="1" t="s">
        <v>44</v>
      </c>
      <c r="D22" s="13">
        <v>13.56</v>
      </c>
      <c r="E22" s="13">
        <v>24.33</v>
      </c>
      <c r="F22" s="13">
        <v>33.51</v>
      </c>
      <c r="G22" s="13">
        <v>15</v>
      </c>
      <c r="H22" s="13">
        <v>13.6</v>
      </c>
      <c r="I22" s="44"/>
      <c r="J22" s="23"/>
      <c r="K22" s="24"/>
      <c r="L22" s="24"/>
      <c r="P22" s="25"/>
      <c r="Q22" s="25"/>
      <c r="R22" s="24"/>
      <c r="S22" s="26"/>
      <c r="T22" s="24"/>
      <c r="U22" s="48"/>
      <c r="V22" s="26"/>
      <c r="W22" s="23"/>
      <c r="X22" s="23"/>
      <c r="Y22" s="24"/>
      <c r="Z22" s="24"/>
    </row>
    <row r="23" spans="1:26" ht="15.75" customHeight="1">
      <c r="A23">
        <v>0</v>
      </c>
      <c r="B23" s="1">
        <v>19</v>
      </c>
      <c r="C23" s="1" t="s">
        <v>46</v>
      </c>
      <c r="D23" s="13">
        <v>15.47</v>
      </c>
      <c r="E23" s="13">
        <v>20.05</v>
      </c>
      <c r="F23" s="13">
        <v>39.74</v>
      </c>
      <c r="G23" s="13">
        <v>13.41</v>
      </c>
      <c r="H23" s="13">
        <v>11.33</v>
      </c>
      <c r="I23" s="44"/>
      <c r="N23" s="42" t="s">
        <v>45</v>
      </c>
      <c r="O23" s="43"/>
      <c r="U23" s="48"/>
    </row>
    <row r="24" spans="1:26" ht="15.75" customHeight="1">
      <c r="A24">
        <v>0</v>
      </c>
      <c r="B24" s="1">
        <v>20</v>
      </c>
      <c r="C24" s="1" t="s">
        <v>47</v>
      </c>
      <c r="D24" s="13">
        <v>22.08</v>
      </c>
      <c r="E24" s="13">
        <v>21.59</v>
      </c>
      <c r="F24" s="13">
        <v>19.260000000000002</v>
      </c>
      <c r="G24" s="13">
        <v>14.86</v>
      </c>
      <c r="H24" s="13">
        <v>22.21</v>
      </c>
      <c r="I24" s="44"/>
      <c r="J24" s="23"/>
      <c r="K24" s="24"/>
      <c r="L24" s="24"/>
      <c r="M24">
        <v>1</v>
      </c>
      <c r="N24" s="1" t="s">
        <v>2</v>
      </c>
      <c r="O24" s="1" t="s">
        <v>3</v>
      </c>
      <c r="P24" s="16" t="s">
        <v>100</v>
      </c>
      <c r="Q24" s="16" t="s">
        <v>101</v>
      </c>
      <c r="R24" s="16" t="s">
        <v>102</v>
      </c>
      <c r="S24" s="16" t="s">
        <v>103</v>
      </c>
      <c r="T24" s="16" t="s">
        <v>104</v>
      </c>
      <c r="U24" s="48"/>
    </row>
    <row r="25" spans="1:26" ht="15.75" customHeight="1">
      <c r="A25">
        <v>0</v>
      </c>
      <c r="B25" s="1">
        <v>21</v>
      </c>
      <c r="C25" s="1" t="s">
        <v>49</v>
      </c>
      <c r="D25" s="13">
        <v>22.57</v>
      </c>
      <c r="E25" s="13">
        <v>19.39</v>
      </c>
      <c r="F25" s="13">
        <v>20.350000000000001</v>
      </c>
      <c r="G25" s="13">
        <v>19.100000000000001</v>
      </c>
      <c r="H25" s="13">
        <v>18.59</v>
      </c>
      <c r="I25" s="44"/>
      <c r="J25" s="18"/>
      <c r="K25" s="19"/>
      <c r="L25" s="19"/>
      <c r="M25">
        <v>1</v>
      </c>
      <c r="O25" s="4" t="s">
        <v>48</v>
      </c>
      <c r="P25" s="21">
        <v>24.91</v>
      </c>
      <c r="Q25" s="12">
        <v>22.23</v>
      </c>
      <c r="R25" s="12">
        <v>29.92</v>
      </c>
      <c r="S25" s="12">
        <v>13.62</v>
      </c>
      <c r="T25" s="12">
        <v>9.32</v>
      </c>
      <c r="U25" s="48"/>
      <c r="W25" s="4" t="s">
        <v>48</v>
      </c>
      <c r="X25" t="b">
        <f>O25=W25</f>
        <v>1</v>
      </c>
    </row>
    <row r="26" spans="1:26" ht="15.75" customHeight="1">
      <c r="A26">
        <v>0</v>
      </c>
      <c r="B26" s="1">
        <v>22</v>
      </c>
      <c r="C26" s="1" t="s">
        <v>51</v>
      </c>
      <c r="D26" s="13">
        <v>19.309999999999999</v>
      </c>
      <c r="E26" s="13">
        <v>24.98</v>
      </c>
      <c r="F26" s="13">
        <v>34.26</v>
      </c>
      <c r="G26" s="13">
        <v>7.48</v>
      </c>
      <c r="H26" s="13">
        <v>13.97</v>
      </c>
      <c r="I26" s="44"/>
      <c r="J26" s="18"/>
      <c r="K26" s="32"/>
      <c r="L26" s="19"/>
      <c r="M26">
        <v>1</v>
      </c>
      <c r="O26" s="4" t="s">
        <v>50</v>
      </c>
      <c r="P26" s="12">
        <v>19.690000000000001</v>
      </c>
      <c r="Q26" s="12">
        <v>23.05</v>
      </c>
      <c r="R26" s="12">
        <v>33.46</v>
      </c>
      <c r="S26" s="12">
        <v>11.14</v>
      </c>
      <c r="T26" s="12">
        <v>12.66</v>
      </c>
      <c r="U26" s="48"/>
      <c r="W26" s="4" t="s">
        <v>50</v>
      </c>
      <c r="X26" t="b">
        <f t="shared" ref="X26:X39" si="0">O26=W26</f>
        <v>1</v>
      </c>
    </row>
    <row r="27" spans="1:26" ht="15.75" customHeight="1">
      <c r="A27">
        <v>0</v>
      </c>
      <c r="B27" s="1">
        <v>23</v>
      </c>
      <c r="C27" s="1" t="s">
        <v>53</v>
      </c>
      <c r="D27" s="13">
        <v>19.38</v>
      </c>
      <c r="E27" s="13">
        <v>21.19</v>
      </c>
      <c r="F27" s="13">
        <v>30.56</v>
      </c>
      <c r="G27" s="13">
        <v>16.48</v>
      </c>
      <c r="H27" s="13">
        <v>12.39</v>
      </c>
      <c r="I27" s="44"/>
      <c r="J27" s="23"/>
      <c r="K27" s="24"/>
      <c r="L27" s="24"/>
      <c r="M27">
        <v>1</v>
      </c>
      <c r="O27" s="4" t="s">
        <v>52</v>
      </c>
      <c r="P27" s="12">
        <v>19.39</v>
      </c>
      <c r="Q27" s="12">
        <v>21.11</v>
      </c>
      <c r="R27" s="12">
        <v>37.090000000000003</v>
      </c>
      <c r="S27" s="12">
        <v>15.39</v>
      </c>
      <c r="T27" s="12">
        <v>7.02</v>
      </c>
      <c r="U27" s="48"/>
      <c r="W27" s="4" t="s">
        <v>52</v>
      </c>
      <c r="X27" t="b">
        <f t="shared" si="0"/>
        <v>1</v>
      </c>
    </row>
    <row r="28" spans="1:26" ht="15.75" customHeight="1">
      <c r="A28">
        <v>0</v>
      </c>
      <c r="B28" s="1">
        <v>24</v>
      </c>
      <c r="C28" s="1" t="s">
        <v>55</v>
      </c>
      <c r="D28" s="13">
        <v>18.2</v>
      </c>
      <c r="E28" s="13">
        <v>21.98</v>
      </c>
      <c r="F28" s="13">
        <v>33.04</v>
      </c>
      <c r="G28" s="13">
        <v>15.82</v>
      </c>
      <c r="H28" s="13">
        <v>10.96</v>
      </c>
      <c r="I28" s="44"/>
      <c r="J28" s="23"/>
      <c r="K28" s="24"/>
      <c r="L28" s="24"/>
      <c r="M28">
        <v>1</v>
      </c>
      <c r="O28" s="4" t="s">
        <v>54</v>
      </c>
      <c r="P28" s="12">
        <v>15.49</v>
      </c>
      <c r="Q28" s="12">
        <v>13.38</v>
      </c>
      <c r="R28" s="12">
        <v>40.97</v>
      </c>
      <c r="S28" s="12">
        <v>17.66</v>
      </c>
      <c r="T28" s="12">
        <v>12.5</v>
      </c>
      <c r="U28" s="48"/>
      <c r="W28" s="4" t="s">
        <v>54</v>
      </c>
      <c r="X28" t="b">
        <f t="shared" si="0"/>
        <v>1</v>
      </c>
    </row>
    <row r="29" spans="1:26" ht="15.75" customHeight="1">
      <c r="A29">
        <v>0</v>
      </c>
      <c r="B29" s="1">
        <v>25</v>
      </c>
      <c r="C29" s="1" t="s">
        <v>57</v>
      </c>
      <c r="D29" s="13">
        <v>25.13</v>
      </c>
      <c r="E29" s="13">
        <v>19.71</v>
      </c>
      <c r="F29" s="13">
        <v>35.979999999999997</v>
      </c>
      <c r="G29" s="13">
        <v>11.39</v>
      </c>
      <c r="H29" s="13">
        <v>7.79</v>
      </c>
      <c r="I29" s="44"/>
      <c r="M29">
        <v>1</v>
      </c>
      <c r="O29" s="4" t="s">
        <v>56</v>
      </c>
      <c r="P29" s="12">
        <v>18.93</v>
      </c>
      <c r="Q29" s="12">
        <v>10.69</v>
      </c>
      <c r="R29" s="12">
        <v>37.58</v>
      </c>
      <c r="S29" s="12">
        <v>20.25</v>
      </c>
      <c r="T29" s="12">
        <v>12.55</v>
      </c>
      <c r="U29" s="48"/>
      <c r="W29" s="4" t="s">
        <v>56</v>
      </c>
      <c r="X29" t="b">
        <f t="shared" si="0"/>
        <v>1</v>
      </c>
    </row>
    <row r="30" spans="1:26" ht="15.75" customHeight="1">
      <c r="A30">
        <v>0</v>
      </c>
      <c r="B30" s="1">
        <v>26</v>
      </c>
      <c r="C30" s="1" t="s">
        <v>59</v>
      </c>
      <c r="D30" s="13">
        <v>19.29</v>
      </c>
      <c r="E30" s="13">
        <v>22.2</v>
      </c>
      <c r="F30" s="13">
        <v>39.380000000000003</v>
      </c>
      <c r="G30" s="13">
        <v>10.79</v>
      </c>
      <c r="H30" s="13">
        <v>8.34</v>
      </c>
      <c r="I30" s="44"/>
      <c r="J30" s="23"/>
      <c r="K30" s="24"/>
      <c r="L30" s="24"/>
      <c r="M30">
        <v>1</v>
      </c>
      <c r="O30" s="4" t="s">
        <v>58</v>
      </c>
      <c r="P30" s="13">
        <v>12.55</v>
      </c>
      <c r="Q30" s="13">
        <v>17.37</v>
      </c>
      <c r="R30" s="13">
        <v>46.79</v>
      </c>
      <c r="S30" s="13">
        <v>11.66</v>
      </c>
      <c r="T30" s="13">
        <v>11.63</v>
      </c>
      <c r="U30" s="48"/>
      <c r="V30" s="26"/>
      <c r="W30" s="4" t="s">
        <v>58</v>
      </c>
      <c r="X30" t="b">
        <f t="shared" si="0"/>
        <v>1</v>
      </c>
      <c r="Y30" s="24"/>
      <c r="Z30" s="24"/>
    </row>
    <row r="31" spans="1:26" ht="15.75" customHeight="1">
      <c r="A31">
        <v>0</v>
      </c>
      <c r="B31" s="1">
        <v>27</v>
      </c>
      <c r="C31" s="1" t="s">
        <v>61</v>
      </c>
      <c r="D31" s="13">
        <v>15.7</v>
      </c>
      <c r="E31" s="13">
        <v>26.81</v>
      </c>
      <c r="F31" s="13">
        <v>36.4</v>
      </c>
      <c r="G31" s="13">
        <v>14.52</v>
      </c>
      <c r="H31" s="13">
        <v>6.57</v>
      </c>
      <c r="I31" s="44"/>
      <c r="J31" s="23"/>
      <c r="K31" s="24"/>
      <c r="L31" s="24"/>
      <c r="M31">
        <v>1</v>
      </c>
      <c r="O31" s="4" t="s">
        <v>60</v>
      </c>
      <c r="P31" s="13">
        <v>14.72</v>
      </c>
      <c r="Q31" s="13">
        <v>23.03</v>
      </c>
      <c r="R31" s="13">
        <v>31.71</v>
      </c>
      <c r="S31" s="13">
        <v>18.57</v>
      </c>
      <c r="T31" s="13">
        <v>11.97</v>
      </c>
      <c r="U31" s="48"/>
      <c r="V31" s="26"/>
      <c r="W31" s="4" t="s">
        <v>60</v>
      </c>
      <c r="X31" t="b">
        <f t="shared" si="0"/>
        <v>1</v>
      </c>
      <c r="Y31" s="24"/>
      <c r="Z31" s="24"/>
    </row>
    <row r="32" spans="1:26" ht="15.75" customHeight="1">
      <c r="A32">
        <v>0</v>
      </c>
      <c r="B32" s="1">
        <v>28</v>
      </c>
      <c r="C32" s="1" t="s">
        <v>63</v>
      </c>
      <c r="D32" s="13">
        <v>14.41</v>
      </c>
      <c r="E32" s="13">
        <v>27.39</v>
      </c>
      <c r="F32" s="13">
        <v>34.869999999999997</v>
      </c>
      <c r="G32" s="13">
        <v>15.48</v>
      </c>
      <c r="H32" s="13">
        <v>7.85</v>
      </c>
      <c r="I32" s="44"/>
      <c r="J32" s="23"/>
      <c r="K32" s="28"/>
      <c r="L32" s="24"/>
      <c r="M32">
        <v>1</v>
      </c>
      <c r="O32" s="4" t="s">
        <v>62</v>
      </c>
      <c r="P32" s="13">
        <v>16</v>
      </c>
      <c r="Q32" s="13">
        <v>25.03</v>
      </c>
      <c r="R32" s="13">
        <v>31.46</v>
      </c>
      <c r="S32" s="13">
        <v>18.690000000000001</v>
      </c>
      <c r="T32" s="13">
        <v>8.82</v>
      </c>
      <c r="U32" s="48"/>
      <c r="V32" s="17"/>
      <c r="W32" s="4" t="s">
        <v>62</v>
      </c>
      <c r="X32" t="b">
        <f t="shared" si="0"/>
        <v>1</v>
      </c>
      <c r="Y32" s="32"/>
      <c r="Z32" s="19"/>
    </row>
    <row r="33" spans="1:26" ht="15.75" customHeight="1">
      <c r="A33">
        <v>0</v>
      </c>
      <c r="B33" s="1">
        <v>29</v>
      </c>
      <c r="C33" s="1" t="s">
        <v>65</v>
      </c>
      <c r="D33" s="13">
        <v>19.63</v>
      </c>
      <c r="E33" s="13">
        <v>24.78</v>
      </c>
      <c r="F33" s="13">
        <v>29.94</v>
      </c>
      <c r="G33" s="13">
        <v>11.44</v>
      </c>
      <c r="H33" s="13">
        <v>14.21</v>
      </c>
      <c r="I33" s="44"/>
      <c r="J33" s="23"/>
      <c r="K33" s="24"/>
      <c r="L33" s="24"/>
      <c r="M33">
        <v>1</v>
      </c>
      <c r="O33" s="4" t="s">
        <v>64</v>
      </c>
      <c r="P33" s="13">
        <v>18.77</v>
      </c>
      <c r="Q33" s="13">
        <v>15.33</v>
      </c>
      <c r="R33" s="13">
        <v>32.85</v>
      </c>
      <c r="S33" s="13">
        <v>16.190000000000001</v>
      </c>
      <c r="T33" s="13">
        <v>16.86</v>
      </c>
      <c r="U33" s="48"/>
      <c r="V33" s="17"/>
      <c r="W33" s="4" t="s">
        <v>64</v>
      </c>
      <c r="X33" t="b">
        <f t="shared" si="0"/>
        <v>1</v>
      </c>
      <c r="Y33" s="19"/>
      <c r="Z33" s="19"/>
    </row>
    <row r="34" spans="1:26" ht="15.75" customHeight="1">
      <c r="A34">
        <v>0</v>
      </c>
      <c r="B34" s="1">
        <v>30</v>
      </c>
      <c r="C34" s="1" t="s">
        <v>67</v>
      </c>
      <c r="D34" s="13">
        <v>31.87</v>
      </c>
      <c r="E34" s="13">
        <v>17.05</v>
      </c>
      <c r="F34" s="13">
        <v>21.54</v>
      </c>
      <c r="G34" s="13">
        <v>14.68</v>
      </c>
      <c r="H34" s="13">
        <v>14.86</v>
      </c>
      <c r="I34" s="44"/>
      <c r="J34" s="23"/>
      <c r="K34" s="24"/>
      <c r="L34" s="24"/>
      <c r="M34">
        <v>1</v>
      </c>
      <c r="O34" s="4" t="s">
        <v>66</v>
      </c>
      <c r="P34" s="13">
        <v>11.09</v>
      </c>
      <c r="Q34" s="13">
        <v>33.36</v>
      </c>
      <c r="R34" s="13">
        <v>28.7</v>
      </c>
      <c r="S34" s="13">
        <v>13.95</v>
      </c>
      <c r="T34" s="13">
        <v>12.9</v>
      </c>
      <c r="U34" s="48"/>
      <c r="V34" s="26"/>
      <c r="W34" s="4" t="s">
        <v>66</v>
      </c>
      <c r="X34" t="b">
        <f t="shared" si="0"/>
        <v>1</v>
      </c>
      <c r="Y34" s="24"/>
      <c r="Z34" s="24"/>
    </row>
    <row r="35" spans="1:26" ht="15.75" customHeight="1">
      <c r="A35">
        <v>0</v>
      </c>
      <c r="B35" s="1">
        <v>31</v>
      </c>
      <c r="C35" s="1" t="s">
        <v>69</v>
      </c>
      <c r="D35" s="13">
        <v>16.399999999999999</v>
      </c>
      <c r="E35" s="13">
        <v>21.66</v>
      </c>
      <c r="F35" s="13">
        <v>26.46</v>
      </c>
      <c r="G35" s="13">
        <v>18.09</v>
      </c>
      <c r="H35" s="13">
        <v>17.39</v>
      </c>
      <c r="I35" s="44"/>
      <c r="M35">
        <v>1</v>
      </c>
      <c r="O35" s="4" t="s">
        <v>68</v>
      </c>
      <c r="P35" s="13">
        <v>17.93</v>
      </c>
      <c r="Q35" s="13">
        <v>24.84</v>
      </c>
      <c r="R35" s="13">
        <v>30.54</v>
      </c>
      <c r="S35" s="13">
        <v>14.14</v>
      </c>
      <c r="T35" s="13">
        <v>12.55</v>
      </c>
      <c r="U35" s="48"/>
      <c r="W35" s="4" t="s">
        <v>68</v>
      </c>
      <c r="X35" t="b">
        <f t="shared" si="0"/>
        <v>1</v>
      </c>
    </row>
    <row r="36" spans="1:26" ht="15.75" customHeight="1">
      <c r="A36">
        <v>0</v>
      </c>
      <c r="B36" s="1">
        <v>32</v>
      </c>
      <c r="C36" s="1" t="s">
        <v>71</v>
      </c>
      <c r="D36" s="13">
        <v>15.21</v>
      </c>
      <c r="E36" s="13">
        <v>27.02</v>
      </c>
      <c r="F36" s="13">
        <v>36.450000000000003</v>
      </c>
      <c r="G36" s="13">
        <v>11.08</v>
      </c>
      <c r="H36" s="13">
        <v>10.24</v>
      </c>
      <c r="I36" s="44"/>
      <c r="K36" s="24"/>
      <c r="L36" s="24"/>
      <c r="M36">
        <v>1</v>
      </c>
      <c r="O36" s="4" t="s">
        <v>70</v>
      </c>
      <c r="P36" s="13">
        <v>16.7</v>
      </c>
      <c r="Q36" s="13">
        <v>25.98</v>
      </c>
      <c r="R36" s="13">
        <v>33.380000000000003</v>
      </c>
      <c r="S36" s="13">
        <v>10.56</v>
      </c>
      <c r="T36" s="13">
        <v>13.38</v>
      </c>
      <c r="U36" s="48"/>
      <c r="V36" s="26"/>
      <c r="W36" s="4" t="s">
        <v>70</v>
      </c>
      <c r="X36" t="b">
        <f t="shared" si="0"/>
        <v>1</v>
      </c>
      <c r="Y36" s="24"/>
      <c r="Z36" s="24"/>
    </row>
    <row r="37" spans="1:26" ht="15.75" customHeight="1">
      <c r="A37">
        <v>0</v>
      </c>
      <c r="B37" s="1">
        <v>33</v>
      </c>
      <c r="C37" s="1" t="s">
        <v>73</v>
      </c>
      <c r="D37" s="13">
        <v>15.95</v>
      </c>
      <c r="E37" s="13">
        <v>37.11</v>
      </c>
      <c r="F37" s="13">
        <v>23.45</v>
      </c>
      <c r="G37" s="13">
        <v>11.06</v>
      </c>
      <c r="H37" s="13">
        <v>12.43</v>
      </c>
      <c r="I37" s="44"/>
      <c r="J37" s="47"/>
      <c r="K37" s="19"/>
      <c r="L37" s="19"/>
      <c r="M37">
        <v>1</v>
      </c>
      <c r="O37" s="4" t="s">
        <v>72</v>
      </c>
      <c r="P37" s="25"/>
      <c r="Q37" s="25"/>
      <c r="R37" s="24"/>
      <c r="S37" s="26"/>
      <c r="T37" s="24"/>
      <c r="U37" s="26"/>
      <c r="V37" s="26"/>
      <c r="W37" s="4" t="s">
        <v>72</v>
      </c>
      <c r="X37" t="b">
        <f t="shared" si="0"/>
        <v>1</v>
      </c>
      <c r="Y37" s="24"/>
      <c r="Z37" s="24"/>
    </row>
    <row r="38" spans="1:26" ht="15.75" customHeight="1">
      <c r="A38">
        <v>0</v>
      </c>
      <c r="B38" s="1">
        <v>34</v>
      </c>
      <c r="C38" s="1" t="s">
        <v>75</v>
      </c>
      <c r="D38" s="13">
        <v>22.96</v>
      </c>
      <c r="E38" s="13">
        <v>27.62</v>
      </c>
      <c r="F38" s="13">
        <v>24.94</v>
      </c>
      <c r="G38" s="13">
        <v>10.96</v>
      </c>
      <c r="H38" s="13">
        <v>13.52</v>
      </c>
      <c r="I38" s="44"/>
      <c r="K38" s="24"/>
      <c r="L38" s="24"/>
      <c r="M38">
        <v>1</v>
      </c>
      <c r="O38" s="4" t="s">
        <v>74</v>
      </c>
      <c r="P38" s="25"/>
      <c r="Q38" s="25"/>
      <c r="R38" s="28"/>
      <c r="S38" s="26"/>
      <c r="T38" s="24"/>
      <c r="U38" s="26"/>
      <c r="V38" s="26"/>
      <c r="W38" s="4" t="s">
        <v>74</v>
      </c>
      <c r="X38" t="b">
        <f t="shared" si="0"/>
        <v>1</v>
      </c>
      <c r="Y38" s="24"/>
      <c r="Z38" s="24"/>
    </row>
    <row r="39" spans="1:26" ht="15.75" customHeight="1">
      <c r="A39">
        <v>0</v>
      </c>
      <c r="B39" s="1">
        <v>35</v>
      </c>
      <c r="C39" s="1" t="s">
        <v>77</v>
      </c>
      <c r="D39" s="13">
        <v>17.850000000000001</v>
      </c>
      <c r="E39" s="13">
        <v>24.65</v>
      </c>
      <c r="F39" s="13">
        <v>31.54</v>
      </c>
      <c r="G39" s="13">
        <v>15.14</v>
      </c>
      <c r="H39" s="13">
        <v>10.82</v>
      </c>
      <c r="I39" s="44"/>
      <c r="K39" s="24"/>
      <c r="L39" s="24"/>
      <c r="M39">
        <v>1</v>
      </c>
      <c r="O39" s="4" t="s">
        <v>76</v>
      </c>
      <c r="P39" s="25"/>
      <c r="Q39" s="25"/>
      <c r="R39" s="24"/>
      <c r="S39" s="26"/>
      <c r="T39" s="24"/>
      <c r="U39" s="26"/>
      <c r="V39" s="26"/>
      <c r="W39" s="4" t="s">
        <v>76</v>
      </c>
      <c r="X39" t="b">
        <f t="shared" si="0"/>
        <v>1</v>
      </c>
      <c r="Y39" s="24"/>
      <c r="Z39" s="24"/>
    </row>
    <row r="40" spans="1:26" ht="15.75" customHeight="1">
      <c r="A40">
        <v>0</v>
      </c>
      <c r="B40" s="1"/>
      <c r="D40" s="13">
        <v>14.92</v>
      </c>
      <c r="E40" s="13">
        <v>16.940000000000001</v>
      </c>
      <c r="F40" s="13">
        <v>27.66</v>
      </c>
      <c r="G40" s="13">
        <v>15.87</v>
      </c>
      <c r="H40" s="13">
        <v>24.61</v>
      </c>
      <c r="I40" s="44"/>
      <c r="K40" s="24"/>
      <c r="L40" s="24"/>
      <c r="O40" s="25"/>
      <c r="P40" s="25"/>
      <c r="Q40" s="25"/>
      <c r="R40" s="24"/>
      <c r="S40" s="26"/>
      <c r="T40" s="24"/>
      <c r="U40" s="26"/>
      <c r="V40" s="26"/>
      <c r="W40" s="23"/>
      <c r="X40" s="23"/>
      <c r="Y40" s="24"/>
      <c r="Z40" s="24"/>
    </row>
    <row r="41" spans="1:26" ht="15.75" customHeight="1">
      <c r="A41">
        <v>0</v>
      </c>
      <c r="B41" s="1"/>
      <c r="D41" s="13">
        <v>16.57</v>
      </c>
      <c r="E41" s="13">
        <v>15.78</v>
      </c>
      <c r="F41" s="13">
        <v>20.72</v>
      </c>
      <c r="G41" s="13">
        <v>12.09</v>
      </c>
      <c r="H41" s="13">
        <v>34.840000000000003</v>
      </c>
      <c r="I41" s="44"/>
    </row>
    <row r="42" spans="1:26" ht="15.75" customHeight="1">
      <c r="B42" s="5"/>
      <c r="C42" s="6" t="s">
        <v>78</v>
      </c>
      <c r="I42" s="44"/>
    </row>
    <row r="43" spans="1:26" ht="15.75" customHeight="1">
      <c r="A43">
        <v>0</v>
      </c>
      <c r="B43" s="8" t="s">
        <v>79</v>
      </c>
      <c r="C43" s="6" t="s">
        <v>80</v>
      </c>
      <c r="D43" s="16" t="s">
        <v>100</v>
      </c>
      <c r="E43" s="16" t="s">
        <v>101</v>
      </c>
      <c r="F43" s="16" t="s">
        <v>102</v>
      </c>
      <c r="G43" s="16" t="s">
        <v>103</v>
      </c>
      <c r="H43" s="16" t="s">
        <v>104</v>
      </c>
      <c r="I43" s="44"/>
    </row>
    <row r="44" spans="1:26" ht="15.75" customHeight="1">
      <c r="A44">
        <v>0</v>
      </c>
      <c r="B44" s="9">
        <v>18</v>
      </c>
      <c r="C44" s="10" t="s">
        <v>44</v>
      </c>
      <c r="D44" s="13">
        <v>22.08</v>
      </c>
      <c r="E44" s="13">
        <v>21.59</v>
      </c>
      <c r="F44" s="13">
        <v>19.260000000000002</v>
      </c>
      <c r="G44" s="13">
        <v>14.86</v>
      </c>
      <c r="H44" s="13">
        <v>22.21</v>
      </c>
      <c r="I44" s="48"/>
    </row>
    <row r="45" spans="1:26" ht="15.75" customHeight="1">
      <c r="A45">
        <v>0</v>
      </c>
      <c r="B45" s="9">
        <v>19</v>
      </c>
      <c r="C45" s="10" t="s">
        <v>46</v>
      </c>
      <c r="D45" s="13">
        <v>22.57</v>
      </c>
      <c r="E45" s="13">
        <v>19.39</v>
      </c>
      <c r="F45" s="13">
        <v>20.36</v>
      </c>
      <c r="G45" s="13">
        <v>19.09</v>
      </c>
      <c r="H45" s="13">
        <v>18.59</v>
      </c>
      <c r="I45" s="48"/>
    </row>
    <row r="46" spans="1:26" ht="15.75" customHeight="1">
      <c r="A46">
        <v>0</v>
      </c>
      <c r="B46" s="9">
        <v>22</v>
      </c>
      <c r="C46" s="10" t="s">
        <v>51</v>
      </c>
      <c r="D46" s="13">
        <v>18.2</v>
      </c>
      <c r="E46" s="13">
        <v>21.98</v>
      </c>
      <c r="F46" s="13">
        <v>33.04</v>
      </c>
      <c r="G46" s="13">
        <v>15.82</v>
      </c>
      <c r="H46" s="13">
        <v>10.96</v>
      </c>
      <c r="I46" s="48"/>
    </row>
    <row r="47" spans="1:26" ht="15.75" customHeight="1">
      <c r="A47">
        <v>0</v>
      </c>
      <c r="B47" s="9">
        <v>25</v>
      </c>
      <c r="C47" s="10" t="s">
        <v>57</v>
      </c>
      <c r="D47" s="13">
        <v>15.7</v>
      </c>
      <c r="E47" s="13">
        <v>26.81</v>
      </c>
      <c r="F47" s="13">
        <v>36.4</v>
      </c>
      <c r="G47" s="13">
        <v>14.52</v>
      </c>
      <c r="H47" s="13">
        <v>6.58</v>
      </c>
      <c r="I47" s="48"/>
    </row>
    <row r="48" spans="1:26" ht="15.75" customHeight="1">
      <c r="A48">
        <v>0</v>
      </c>
      <c r="B48" s="9">
        <v>27</v>
      </c>
      <c r="C48" s="10" t="s">
        <v>61</v>
      </c>
      <c r="D48" s="13">
        <v>19.63</v>
      </c>
      <c r="E48" s="13">
        <v>24.78</v>
      </c>
      <c r="F48" s="13">
        <v>29.94</v>
      </c>
      <c r="G48" s="13">
        <v>11.44</v>
      </c>
      <c r="H48" s="13">
        <v>14.21</v>
      </c>
      <c r="I48" s="48"/>
    </row>
    <row r="49" spans="1:12" ht="15.75" customHeight="1">
      <c r="A49">
        <v>0</v>
      </c>
      <c r="B49" s="9">
        <v>29</v>
      </c>
      <c r="C49" s="10" t="s">
        <v>65</v>
      </c>
      <c r="D49" s="13">
        <v>16.399999999999999</v>
      </c>
      <c r="E49" s="13">
        <v>21.66</v>
      </c>
      <c r="F49" s="13">
        <v>26.46</v>
      </c>
      <c r="G49" s="13">
        <v>18.09</v>
      </c>
      <c r="H49" s="13">
        <v>17.39</v>
      </c>
      <c r="I49" s="48"/>
    </row>
    <row r="50" spans="1:12" ht="15.75" customHeight="1">
      <c r="A50">
        <v>0</v>
      </c>
      <c r="B50" s="9">
        <v>30</v>
      </c>
      <c r="C50" s="10" t="s">
        <v>67</v>
      </c>
      <c r="D50" s="13">
        <v>15.21</v>
      </c>
      <c r="E50" s="13">
        <v>27.02</v>
      </c>
      <c r="F50" s="13">
        <v>36.450000000000003</v>
      </c>
      <c r="G50" s="13">
        <v>11.08</v>
      </c>
      <c r="H50" s="13">
        <v>10.24</v>
      </c>
      <c r="I50" s="48"/>
    </row>
    <row r="51" spans="1:12" ht="15.75" customHeight="1">
      <c r="B51" s="1"/>
      <c r="D51" s="24"/>
      <c r="E51" s="26"/>
      <c r="F51" s="24"/>
      <c r="G51" s="26"/>
      <c r="H51" s="26"/>
      <c r="I51" s="48"/>
      <c r="J51" s="24"/>
      <c r="K51" s="24"/>
      <c r="L51" s="24"/>
    </row>
    <row r="52" spans="1:12" ht="15.75" customHeight="1">
      <c r="D52" s="24"/>
      <c r="E52" s="26"/>
      <c r="F52" s="24"/>
      <c r="G52" s="26"/>
      <c r="H52" s="26"/>
      <c r="I52" s="48"/>
      <c r="J52" s="24"/>
      <c r="K52" s="24"/>
      <c r="L52" s="24"/>
    </row>
    <row r="53" spans="1:12" ht="15.75" customHeight="1">
      <c r="B53" s="7"/>
      <c r="C53" s="6" t="s">
        <v>84</v>
      </c>
      <c r="D53" s="32"/>
      <c r="E53" s="17"/>
      <c r="F53" s="19"/>
      <c r="G53" s="17"/>
      <c r="H53" s="17"/>
      <c r="I53" s="48"/>
      <c r="J53" s="19"/>
      <c r="K53" s="19"/>
      <c r="L53" s="19"/>
    </row>
    <row r="54" spans="1:12" ht="15.75" customHeight="1">
      <c r="A54">
        <v>0</v>
      </c>
      <c r="B54" s="6" t="s">
        <v>79</v>
      </c>
      <c r="C54" s="6" t="s">
        <v>80</v>
      </c>
      <c r="D54" s="16" t="s">
        <v>100</v>
      </c>
      <c r="E54" s="16" t="s">
        <v>101</v>
      </c>
      <c r="F54" s="16" t="s">
        <v>102</v>
      </c>
      <c r="G54" s="16" t="s">
        <v>103</v>
      </c>
      <c r="H54" s="16" t="s">
        <v>104</v>
      </c>
      <c r="I54" s="48"/>
      <c r="J54" s="19"/>
      <c r="K54" s="19"/>
      <c r="L54" s="19"/>
    </row>
    <row r="55" spans="1:12" ht="15.75" customHeight="1">
      <c r="A55">
        <v>0</v>
      </c>
      <c r="B55" s="10">
        <v>1</v>
      </c>
      <c r="C55" s="10" t="s">
        <v>85</v>
      </c>
      <c r="D55" s="13">
        <v>13.86</v>
      </c>
      <c r="E55" s="13">
        <v>28.41</v>
      </c>
      <c r="F55" s="13">
        <v>35.159999999999997</v>
      </c>
      <c r="G55" s="13">
        <v>11.68</v>
      </c>
      <c r="H55" s="13">
        <v>10.89</v>
      </c>
      <c r="I55" s="48"/>
      <c r="J55" s="19"/>
      <c r="K55" s="19"/>
      <c r="L55" s="19"/>
    </row>
    <row r="56" spans="1:12" ht="15.75" customHeight="1">
      <c r="A56">
        <v>0</v>
      </c>
      <c r="B56" s="10">
        <v>2</v>
      </c>
      <c r="C56" s="10" t="s">
        <v>13</v>
      </c>
      <c r="D56" s="13">
        <v>11.44</v>
      </c>
      <c r="E56" s="13">
        <v>22.15</v>
      </c>
      <c r="F56" s="13">
        <v>41.55</v>
      </c>
      <c r="G56" s="13">
        <v>15.75</v>
      </c>
      <c r="H56" s="13">
        <v>9.11</v>
      </c>
      <c r="I56" s="48"/>
      <c r="J56" s="19"/>
      <c r="K56" s="19"/>
      <c r="L56" s="19"/>
    </row>
    <row r="57" spans="1:12" ht="15.75" customHeight="1">
      <c r="A57">
        <v>0</v>
      </c>
      <c r="B57" s="10">
        <v>3</v>
      </c>
      <c r="C57" s="10" t="s">
        <v>15</v>
      </c>
      <c r="D57" s="13">
        <v>16.61</v>
      </c>
      <c r="E57" s="13">
        <v>17.61</v>
      </c>
      <c r="F57" s="13">
        <v>47.41</v>
      </c>
      <c r="G57" s="13">
        <v>8.68</v>
      </c>
      <c r="H57" s="13">
        <v>9.6999999999999993</v>
      </c>
      <c r="I57" s="48"/>
      <c r="J57" s="19"/>
      <c r="K57" s="19"/>
      <c r="L57" s="19"/>
    </row>
    <row r="58" spans="1:12" ht="15.75" customHeight="1">
      <c r="A58">
        <v>0</v>
      </c>
      <c r="B58" s="10">
        <v>4</v>
      </c>
      <c r="C58" s="10" t="s">
        <v>17</v>
      </c>
      <c r="D58" s="13">
        <v>17.11</v>
      </c>
      <c r="E58" s="13">
        <v>38.29</v>
      </c>
      <c r="F58" s="13">
        <v>11.49</v>
      </c>
      <c r="G58" s="13">
        <v>18.14</v>
      </c>
      <c r="H58" s="13">
        <v>14.97</v>
      </c>
      <c r="I58" s="48"/>
      <c r="J58" s="24"/>
      <c r="K58" s="24"/>
      <c r="L58" s="24"/>
    </row>
    <row r="59" spans="1:12" ht="15.75" customHeight="1">
      <c r="A59">
        <v>0</v>
      </c>
      <c r="B59" s="10">
        <v>5</v>
      </c>
      <c r="C59" s="10" t="s">
        <v>19</v>
      </c>
      <c r="D59" s="13">
        <v>19.38</v>
      </c>
      <c r="E59" s="13">
        <v>25.68</v>
      </c>
      <c r="F59" s="13">
        <v>30.69</v>
      </c>
      <c r="G59" s="13">
        <v>12.71</v>
      </c>
      <c r="H59" s="13">
        <v>11.54</v>
      </c>
      <c r="I59" s="48"/>
      <c r="J59" s="19"/>
      <c r="K59" s="19"/>
      <c r="L59" s="19"/>
    </row>
    <row r="60" spans="1:12" ht="15.75" customHeight="1">
      <c r="A60">
        <v>0</v>
      </c>
      <c r="B60" s="10">
        <v>6</v>
      </c>
      <c r="C60" s="10" t="s">
        <v>22</v>
      </c>
      <c r="D60" s="13">
        <v>15.16</v>
      </c>
      <c r="E60" s="13">
        <v>21.94</v>
      </c>
      <c r="F60" s="13">
        <v>34.229999999999997</v>
      </c>
      <c r="G60" s="13">
        <v>13.59</v>
      </c>
      <c r="H60" s="13">
        <v>15.1</v>
      </c>
      <c r="I60" s="48"/>
      <c r="J60" s="19"/>
      <c r="K60" s="19"/>
      <c r="L60" s="19"/>
    </row>
    <row r="61" spans="1:12" ht="15.75" customHeight="1">
      <c r="A61">
        <v>0</v>
      </c>
      <c r="B61" s="10">
        <v>7</v>
      </c>
      <c r="C61" s="10" t="s">
        <v>26</v>
      </c>
      <c r="D61" s="13">
        <v>19.670000000000002</v>
      </c>
      <c r="E61" s="13">
        <v>23.96</v>
      </c>
      <c r="F61" s="13">
        <v>17.47</v>
      </c>
      <c r="G61" s="13">
        <v>15.11</v>
      </c>
      <c r="H61" s="13">
        <v>23.79</v>
      </c>
      <c r="I61" s="48"/>
    </row>
    <row r="62" spans="1:12" ht="15.75" customHeight="1">
      <c r="A62">
        <v>0</v>
      </c>
      <c r="B62" s="10">
        <v>9</v>
      </c>
      <c r="C62" s="10" t="s">
        <v>86</v>
      </c>
      <c r="D62" s="13">
        <v>13.76</v>
      </c>
      <c r="E62" s="13">
        <v>24.52</v>
      </c>
      <c r="F62" s="13">
        <v>37.78</v>
      </c>
      <c r="G62" s="13">
        <v>15.76</v>
      </c>
      <c r="H62" s="13">
        <v>8.18</v>
      </c>
      <c r="I62" s="48"/>
    </row>
    <row r="63" spans="1:12" ht="15.75" customHeight="1">
      <c r="A63">
        <v>0</v>
      </c>
      <c r="B63" s="10">
        <v>10</v>
      </c>
      <c r="C63" s="10" t="s">
        <v>31</v>
      </c>
      <c r="D63" s="13">
        <v>16.93</v>
      </c>
      <c r="E63" s="13">
        <v>24.28</v>
      </c>
      <c r="F63" s="13">
        <v>37.97</v>
      </c>
      <c r="G63" s="13">
        <v>12.32</v>
      </c>
      <c r="H63" s="13">
        <v>8.5</v>
      </c>
      <c r="I63" s="48"/>
    </row>
    <row r="64" spans="1:12" ht="15.75" customHeight="1">
      <c r="A64">
        <v>0</v>
      </c>
      <c r="B64" s="10">
        <v>12</v>
      </c>
      <c r="C64" s="10" t="s">
        <v>35</v>
      </c>
      <c r="D64" s="13">
        <v>18.62</v>
      </c>
      <c r="E64" s="13">
        <v>24.99</v>
      </c>
      <c r="F64" s="13">
        <v>30.09</v>
      </c>
      <c r="G64" s="13">
        <v>17.66</v>
      </c>
      <c r="H64" s="13">
        <v>8.65</v>
      </c>
      <c r="I64" s="48"/>
    </row>
    <row r="65" spans="1:9" ht="15.75" customHeight="1">
      <c r="A65">
        <v>0</v>
      </c>
      <c r="B65" s="10">
        <v>13</v>
      </c>
      <c r="C65" s="10" t="s">
        <v>37</v>
      </c>
      <c r="D65" s="13">
        <v>20.149999999999999</v>
      </c>
      <c r="E65" s="13">
        <v>19.350000000000001</v>
      </c>
      <c r="F65" s="13">
        <v>32.03</v>
      </c>
      <c r="G65" s="13">
        <v>16.18</v>
      </c>
      <c r="H65" s="13">
        <v>12.29</v>
      </c>
      <c r="I65" s="48"/>
    </row>
    <row r="66" spans="1:9" ht="15.75" customHeight="1">
      <c r="A66">
        <v>0</v>
      </c>
      <c r="B66" s="10">
        <v>14</v>
      </c>
      <c r="C66" s="10" t="s">
        <v>87</v>
      </c>
      <c r="D66" s="13">
        <v>13.56</v>
      </c>
      <c r="E66" s="13">
        <v>24.33</v>
      </c>
      <c r="F66" s="13">
        <v>33.520000000000003</v>
      </c>
      <c r="G66" s="13">
        <v>15</v>
      </c>
      <c r="H66" s="13">
        <v>13.6</v>
      </c>
      <c r="I66" s="48"/>
    </row>
    <row r="67" spans="1:9" ht="15.75" customHeight="1">
      <c r="A67">
        <v>0</v>
      </c>
      <c r="B67" s="10">
        <v>17</v>
      </c>
      <c r="C67" s="10" t="s">
        <v>43</v>
      </c>
      <c r="D67" s="13">
        <v>15.47</v>
      </c>
      <c r="E67" s="13">
        <v>20.05</v>
      </c>
      <c r="F67" s="13">
        <v>39.729999999999997</v>
      </c>
      <c r="G67" s="13">
        <v>13.42</v>
      </c>
      <c r="H67" s="13">
        <v>11.33</v>
      </c>
      <c r="I67" s="48"/>
    </row>
    <row r="68" spans="1:9" ht="15.75" customHeight="1">
      <c r="A68">
        <v>0</v>
      </c>
      <c r="B68" s="10">
        <v>20</v>
      </c>
      <c r="C68" s="10" t="s">
        <v>47</v>
      </c>
      <c r="D68" s="13">
        <v>19.309999999999999</v>
      </c>
      <c r="E68" s="13">
        <v>24.98</v>
      </c>
      <c r="F68" s="13">
        <v>34.26</v>
      </c>
      <c r="G68" s="13">
        <v>7.48</v>
      </c>
      <c r="H68" s="13">
        <v>13.97</v>
      </c>
      <c r="I68" s="48"/>
    </row>
    <row r="69" spans="1:9" ht="15.75" customHeight="1">
      <c r="A69">
        <v>0</v>
      </c>
      <c r="B69" s="10">
        <v>21</v>
      </c>
      <c r="C69" s="10" t="s">
        <v>49</v>
      </c>
      <c r="D69" s="13">
        <v>19.38</v>
      </c>
      <c r="E69" s="13">
        <v>21.19</v>
      </c>
      <c r="F69" s="13">
        <v>30.56</v>
      </c>
      <c r="G69" s="13">
        <v>16.48</v>
      </c>
      <c r="H69" s="13">
        <v>12.39</v>
      </c>
      <c r="I69" s="48"/>
    </row>
    <row r="70" spans="1:9" ht="15.75" customHeight="1">
      <c r="A70">
        <v>0</v>
      </c>
      <c r="B70" s="10">
        <v>23</v>
      </c>
      <c r="C70" s="10" t="s">
        <v>53</v>
      </c>
      <c r="D70" s="13">
        <v>25.13</v>
      </c>
      <c r="E70" s="13">
        <v>19.71</v>
      </c>
      <c r="F70" s="13">
        <v>35.979999999999997</v>
      </c>
      <c r="G70" s="13">
        <v>11.39</v>
      </c>
      <c r="H70" s="13">
        <v>7.79</v>
      </c>
      <c r="I70" s="48"/>
    </row>
    <row r="71" spans="1:9" ht="15.75" customHeight="1">
      <c r="A71">
        <v>0</v>
      </c>
      <c r="B71" s="10">
        <v>24</v>
      </c>
      <c r="C71" s="10" t="s">
        <v>55</v>
      </c>
      <c r="D71" s="13">
        <v>19.29</v>
      </c>
      <c r="E71" s="13">
        <v>23.2</v>
      </c>
      <c r="F71" s="13">
        <v>39.380000000000003</v>
      </c>
      <c r="G71" s="13">
        <v>10.79</v>
      </c>
      <c r="H71" s="13">
        <v>7.34</v>
      </c>
      <c r="I71" s="48"/>
    </row>
    <row r="72" spans="1:9" ht="15.75" customHeight="1">
      <c r="A72">
        <v>0</v>
      </c>
      <c r="B72" s="10">
        <v>26</v>
      </c>
      <c r="C72" s="10" t="s">
        <v>59</v>
      </c>
      <c r="D72" s="13">
        <v>14.41</v>
      </c>
      <c r="E72" s="13">
        <v>27.39</v>
      </c>
      <c r="F72" s="13">
        <v>34.869999999999997</v>
      </c>
      <c r="G72" s="13">
        <v>15.47</v>
      </c>
      <c r="H72" s="13">
        <v>7.86</v>
      </c>
      <c r="I72" s="48"/>
    </row>
    <row r="73" spans="1:9" ht="15.75" customHeight="1">
      <c r="A73">
        <v>0</v>
      </c>
      <c r="B73" s="10">
        <v>28</v>
      </c>
      <c r="C73" s="10" t="s">
        <v>63</v>
      </c>
      <c r="D73" s="13">
        <v>31.87</v>
      </c>
      <c r="E73" s="13">
        <v>17.059999999999999</v>
      </c>
      <c r="F73" s="13">
        <v>21.53</v>
      </c>
      <c r="G73" s="13">
        <v>14.68</v>
      </c>
      <c r="H73" s="13">
        <v>14.86</v>
      </c>
      <c r="I73" s="48"/>
    </row>
    <row r="74" spans="1:9" ht="15.75" customHeight="1">
      <c r="A74">
        <v>0</v>
      </c>
      <c r="B74" s="10">
        <v>31</v>
      </c>
      <c r="C74" s="10" t="s">
        <v>69</v>
      </c>
      <c r="D74" s="13">
        <v>15.95</v>
      </c>
      <c r="E74" s="13">
        <v>37.11</v>
      </c>
      <c r="F74" s="13">
        <v>23.45</v>
      </c>
      <c r="G74" s="13">
        <v>11.06</v>
      </c>
      <c r="H74" s="13">
        <v>12.43</v>
      </c>
      <c r="I74" s="48"/>
    </row>
    <row r="75" spans="1:9" ht="15.75" customHeight="1">
      <c r="A75">
        <v>0</v>
      </c>
      <c r="B75" s="10">
        <v>32</v>
      </c>
      <c r="C75" s="10" t="s">
        <v>71</v>
      </c>
      <c r="D75" s="13">
        <v>22.96</v>
      </c>
      <c r="E75" s="13">
        <v>27.62</v>
      </c>
      <c r="F75" s="13">
        <v>24.94</v>
      </c>
      <c r="G75" s="13">
        <v>10.96</v>
      </c>
      <c r="H75" s="13">
        <v>13.52</v>
      </c>
      <c r="I75" s="48"/>
    </row>
    <row r="76" spans="1:9" ht="15.75" customHeight="1">
      <c r="A76">
        <v>0</v>
      </c>
      <c r="B76" s="10">
        <v>33</v>
      </c>
      <c r="C76" s="10" t="s">
        <v>88</v>
      </c>
      <c r="D76" s="13">
        <v>17.850000000000001</v>
      </c>
      <c r="E76" s="13">
        <v>24.65</v>
      </c>
      <c r="F76" s="13">
        <v>31.54</v>
      </c>
      <c r="G76" s="13">
        <v>15.14</v>
      </c>
      <c r="H76" s="13">
        <v>10.82</v>
      </c>
      <c r="I76" s="48"/>
    </row>
    <row r="77" spans="1:9" ht="15.75" customHeight="1">
      <c r="A77">
        <v>0</v>
      </c>
      <c r="B77" s="10">
        <v>34</v>
      </c>
      <c r="C77" s="10" t="s">
        <v>75</v>
      </c>
      <c r="D77" s="13">
        <v>14.92</v>
      </c>
      <c r="E77" s="13">
        <v>16.940000000000001</v>
      </c>
      <c r="F77" s="13">
        <v>27.66</v>
      </c>
      <c r="G77" s="13">
        <v>15.87</v>
      </c>
      <c r="H77" s="13">
        <v>24.61</v>
      </c>
      <c r="I77" s="48"/>
    </row>
    <row r="78" spans="1:9" ht="15.75" customHeight="1">
      <c r="A78">
        <v>0</v>
      </c>
      <c r="B78" s="10">
        <v>35</v>
      </c>
      <c r="C78" s="10" t="s">
        <v>77</v>
      </c>
      <c r="D78" s="13">
        <v>16.57</v>
      </c>
      <c r="E78" s="13">
        <v>15.78</v>
      </c>
      <c r="F78" s="13">
        <v>20.72</v>
      </c>
      <c r="G78" s="13">
        <v>12.09</v>
      </c>
      <c r="H78" s="13">
        <v>34.840000000000003</v>
      </c>
      <c r="I78" s="48"/>
    </row>
    <row r="79" spans="1:9" ht="15.75" customHeight="1">
      <c r="A79">
        <v>0</v>
      </c>
      <c r="B79" s="10">
        <v>36</v>
      </c>
      <c r="C79" s="10" t="s">
        <v>89</v>
      </c>
      <c r="D79" s="13">
        <v>18.649999999999999</v>
      </c>
      <c r="E79" s="13">
        <v>18.79</v>
      </c>
      <c r="F79" s="13">
        <v>18.79</v>
      </c>
      <c r="G79" s="13">
        <v>19.809999999999999</v>
      </c>
      <c r="H79" s="13">
        <v>23.96</v>
      </c>
      <c r="I79" s="48"/>
    </row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000"/>
  <sheetViews>
    <sheetView zoomScaleNormal="100" workbookViewId="0">
      <selection activeCell="C13" sqref="C13"/>
    </sheetView>
  </sheetViews>
  <sheetFormatPr defaultColWidth="14.42578125" defaultRowHeight="15" customHeight="1"/>
  <cols>
    <col min="1" max="1" width="8.7109375" customWidth="1"/>
    <col min="2" max="2" width="18.28515625" customWidth="1"/>
    <col min="3" max="15" width="8.7109375" customWidth="1"/>
    <col min="16" max="16" width="10.5703125" customWidth="1"/>
    <col min="17" max="18" width="10.42578125" customWidth="1"/>
    <col min="19" max="23" width="8.7109375" customWidth="1"/>
    <col min="24" max="24" width="11.140625" customWidth="1"/>
    <col min="25" max="30" width="8.7109375" customWidth="1"/>
  </cols>
  <sheetData>
    <row r="2" spans="1:28">
      <c r="Q2" s="27"/>
      <c r="R2" s="27"/>
      <c r="S2" s="30"/>
      <c r="T2" s="27"/>
      <c r="U2" s="27"/>
    </row>
    <row r="3" spans="1:28">
      <c r="B3" s="42" t="s">
        <v>0</v>
      </c>
      <c r="C3" s="49"/>
      <c r="D3" s="50"/>
      <c r="E3" s="50"/>
      <c r="F3" s="50"/>
      <c r="G3" s="50"/>
      <c r="H3" s="50"/>
      <c r="R3" s="15"/>
      <c r="S3" s="15"/>
      <c r="T3" s="15"/>
      <c r="U3" s="15"/>
    </row>
    <row r="4" spans="1:28">
      <c r="A4" t="s">
        <v>8</v>
      </c>
      <c r="B4" s="1" t="s">
        <v>2</v>
      </c>
      <c r="C4" s="51" t="s">
        <v>3</v>
      </c>
      <c r="D4" s="52" t="s">
        <v>104</v>
      </c>
      <c r="E4" s="52" t="s">
        <v>105</v>
      </c>
      <c r="F4" s="52" t="s">
        <v>102</v>
      </c>
      <c r="G4" s="52" t="s">
        <v>101</v>
      </c>
      <c r="H4" s="52" t="s">
        <v>112</v>
      </c>
      <c r="I4" s="15"/>
      <c r="J4" s="15"/>
      <c r="K4" s="15"/>
      <c r="L4" s="15"/>
      <c r="N4" s="42" t="s">
        <v>1</v>
      </c>
      <c r="O4" s="43"/>
      <c r="R4" s="15"/>
      <c r="S4" s="15"/>
      <c r="T4" s="15"/>
      <c r="U4" s="15"/>
      <c r="V4" s="26"/>
      <c r="W4" s="26"/>
      <c r="X4" s="23"/>
      <c r="Y4" s="23"/>
      <c r="Z4" s="24"/>
      <c r="AA4" s="24"/>
    </row>
    <row r="5" spans="1:28">
      <c r="A5">
        <v>0</v>
      </c>
      <c r="B5" s="1">
        <v>1</v>
      </c>
      <c r="C5" s="51" t="s">
        <v>9</v>
      </c>
      <c r="D5" s="52">
        <v>10.38</v>
      </c>
      <c r="E5" s="52">
        <v>23.16</v>
      </c>
      <c r="F5" s="52">
        <v>15.53</v>
      </c>
      <c r="G5" s="52">
        <v>21.32</v>
      </c>
      <c r="H5" s="52">
        <v>29.61</v>
      </c>
      <c r="I5" s="15"/>
      <c r="J5" s="15"/>
      <c r="K5" s="15"/>
      <c r="L5" s="15"/>
      <c r="M5" t="s">
        <v>116</v>
      </c>
      <c r="N5" s="1" t="s">
        <v>2</v>
      </c>
      <c r="O5" s="1" t="s">
        <v>3</v>
      </c>
      <c r="P5" s="16" t="s">
        <v>100</v>
      </c>
      <c r="Q5" s="16" t="s">
        <v>101</v>
      </c>
      <c r="R5" s="16" t="s">
        <v>102</v>
      </c>
      <c r="S5" s="33" t="s">
        <v>105</v>
      </c>
      <c r="T5" s="16" t="s">
        <v>104</v>
      </c>
      <c r="U5" s="17"/>
      <c r="V5" s="26"/>
      <c r="X5" s="27"/>
      <c r="Y5" s="27"/>
      <c r="Z5" s="30"/>
      <c r="AA5" s="27"/>
      <c r="AB5" s="27"/>
    </row>
    <row r="6" spans="1:28">
      <c r="A6">
        <v>0</v>
      </c>
      <c r="B6" s="1">
        <v>2</v>
      </c>
      <c r="C6" s="51" t="s">
        <v>13</v>
      </c>
      <c r="D6" s="52">
        <v>9.9</v>
      </c>
      <c r="E6" s="52">
        <v>20.260000000000002</v>
      </c>
      <c r="F6" s="52">
        <v>18.5</v>
      </c>
      <c r="G6" s="52">
        <v>26.43</v>
      </c>
      <c r="H6" s="52">
        <v>24.91</v>
      </c>
      <c r="I6" s="15"/>
      <c r="J6" s="23"/>
      <c r="K6" s="24"/>
      <c r="L6" s="24"/>
      <c r="M6">
        <v>2</v>
      </c>
      <c r="O6" s="4" t="s">
        <v>12</v>
      </c>
      <c r="P6" s="25"/>
      <c r="Q6" s="25"/>
      <c r="R6" s="24"/>
      <c r="S6" s="26"/>
      <c r="T6" s="24"/>
      <c r="U6" s="26"/>
      <c r="V6" s="17"/>
      <c r="W6" s="1"/>
      <c r="X6" s="25"/>
      <c r="Y6" s="25"/>
      <c r="Z6" s="31"/>
      <c r="AA6" s="31"/>
      <c r="AB6" s="25"/>
    </row>
    <row r="7" spans="1:28">
      <c r="A7">
        <v>0</v>
      </c>
      <c r="B7" s="1">
        <v>3</v>
      </c>
      <c r="C7" s="51" t="s">
        <v>15</v>
      </c>
      <c r="D7" s="52">
        <v>7.88</v>
      </c>
      <c r="E7" s="52">
        <v>20.81</v>
      </c>
      <c r="F7" s="52">
        <v>14.05</v>
      </c>
      <c r="G7" s="52">
        <v>19.34</v>
      </c>
      <c r="H7" s="52">
        <v>37.92</v>
      </c>
      <c r="I7" s="15"/>
      <c r="J7" s="23"/>
      <c r="K7" s="24"/>
      <c r="L7" s="24"/>
      <c r="M7">
        <v>2</v>
      </c>
      <c r="O7" s="4" t="s">
        <v>14</v>
      </c>
      <c r="P7" s="25"/>
      <c r="Q7" s="25"/>
      <c r="R7" s="28"/>
      <c r="S7" s="26"/>
      <c r="T7" s="24"/>
      <c r="U7" s="26"/>
      <c r="V7" s="26"/>
      <c r="W7" s="1"/>
      <c r="X7" s="25"/>
      <c r="Y7" s="31"/>
      <c r="Z7" s="31"/>
      <c r="AA7" s="25"/>
      <c r="AB7" s="25"/>
    </row>
    <row r="8" spans="1:28">
      <c r="A8">
        <v>0</v>
      </c>
      <c r="B8" s="1">
        <v>4</v>
      </c>
      <c r="C8" s="51" t="s">
        <v>17</v>
      </c>
      <c r="D8" s="52">
        <v>8.1</v>
      </c>
      <c r="E8" s="52">
        <v>19.399999999999999</v>
      </c>
      <c r="F8" s="52">
        <v>15.9</v>
      </c>
      <c r="G8" s="52">
        <v>30.89</v>
      </c>
      <c r="H8" s="52">
        <v>25.73</v>
      </c>
      <c r="I8" s="15"/>
      <c r="J8" s="23"/>
      <c r="K8" s="24"/>
      <c r="L8" s="24"/>
      <c r="M8">
        <v>2</v>
      </c>
      <c r="N8" s="3">
        <v>36</v>
      </c>
      <c r="O8" s="1" t="s">
        <v>16</v>
      </c>
      <c r="P8" s="29"/>
      <c r="Q8" s="29"/>
      <c r="R8" s="20"/>
      <c r="S8" s="21"/>
      <c r="T8" s="22"/>
      <c r="U8" s="26"/>
      <c r="V8" s="26"/>
      <c r="W8" s="1"/>
      <c r="X8" s="25"/>
      <c r="Y8" s="25"/>
      <c r="Z8" s="31"/>
      <c r="AA8" s="25"/>
      <c r="AB8" s="25"/>
    </row>
    <row r="9" spans="1:28">
      <c r="A9">
        <v>0</v>
      </c>
      <c r="B9" s="1">
        <v>5</v>
      </c>
      <c r="C9" s="51" t="s">
        <v>19</v>
      </c>
      <c r="D9" s="52">
        <v>11.06</v>
      </c>
      <c r="E9" s="52">
        <v>21.05</v>
      </c>
      <c r="F9" s="52">
        <v>17.61</v>
      </c>
      <c r="G9" s="52">
        <v>26.22</v>
      </c>
      <c r="H9" s="52">
        <v>24.06</v>
      </c>
      <c r="I9" s="15"/>
      <c r="J9" s="23"/>
      <c r="K9" s="24"/>
      <c r="L9" s="24"/>
      <c r="M9">
        <v>2</v>
      </c>
      <c r="N9" s="3">
        <v>37</v>
      </c>
      <c r="O9" s="1" t="s">
        <v>18</v>
      </c>
      <c r="P9" s="29"/>
      <c r="Q9" s="29"/>
      <c r="R9" s="22"/>
      <c r="S9" s="21"/>
      <c r="T9" s="22"/>
      <c r="U9" s="26"/>
      <c r="W9" s="1"/>
      <c r="X9" s="25"/>
      <c r="Y9" s="25"/>
      <c r="Z9" s="31"/>
      <c r="AA9" s="31"/>
      <c r="AB9" s="25"/>
    </row>
    <row r="10" spans="1:28">
      <c r="A10">
        <v>0</v>
      </c>
      <c r="B10" s="1">
        <v>6</v>
      </c>
      <c r="C10" s="51" t="s">
        <v>22</v>
      </c>
      <c r="D10" s="52">
        <v>13.61</v>
      </c>
      <c r="E10" s="52">
        <v>19.059999999999999</v>
      </c>
      <c r="F10" s="52">
        <v>21.97</v>
      </c>
      <c r="G10" s="52">
        <v>22.71</v>
      </c>
      <c r="H10" s="52">
        <v>22.66</v>
      </c>
      <c r="I10" s="15"/>
      <c r="J10" s="23"/>
      <c r="K10" s="24"/>
      <c r="L10" s="24"/>
      <c r="M10">
        <v>2</v>
      </c>
      <c r="N10" s="3">
        <v>38</v>
      </c>
      <c r="O10" s="1" t="s">
        <v>21</v>
      </c>
      <c r="P10" s="12"/>
      <c r="Q10" s="12"/>
      <c r="R10" s="12"/>
      <c r="S10" s="12"/>
      <c r="T10" s="12"/>
    </row>
    <row r="11" spans="1:28">
      <c r="A11">
        <v>0</v>
      </c>
      <c r="B11" s="1">
        <v>7</v>
      </c>
      <c r="C11" s="51" t="s">
        <v>26</v>
      </c>
      <c r="D11" s="52">
        <v>11.93</v>
      </c>
      <c r="E11" s="52">
        <v>16.75</v>
      </c>
      <c r="F11" s="52">
        <v>21.59</v>
      </c>
      <c r="G11" s="52">
        <v>24.63</v>
      </c>
      <c r="H11" s="52">
        <v>25.1</v>
      </c>
      <c r="I11" s="15"/>
      <c r="M11">
        <v>2</v>
      </c>
      <c r="N11" s="3">
        <v>39</v>
      </c>
      <c r="O11" s="1" t="s">
        <v>25</v>
      </c>
      <c r="P11" s="12"/>
      <c r="Q11" s="12"/>
      <c r="R11" s="12"/>
      <c r="S11" s="12"/>
      <c r="T11" s="12"/>
    </row>
    <row r="12" spans="1:28">
      <c r="A12">
        <v>0</v>
      </c>
      <c r="B12" s="4">
        <v>8</v>
      </c>
      <c r="C12" s="53" t="s">
        <v>28</v>
      </c>
      <c r="D12" s="50"/>
      <c r="E12" s="50"/>
      <c r="F12" s="50"/>
      <c r="G12" s="50"/>
      <c r="H12" s="50"/>
      <c r="I12" s="15"/>
      <c r="J12" s="23"/>
      <c r="K12" s="24"/>
      <c r="L12" s="24"/>
      <c r="M12">
        <v>2</v>
      </c>
      <c r="N12" s="3">
        <v>40</v>
      </c>
      <c r="O12" s="1" t="s">
        <v>27</v>
      </c>
      <c r="P12" s="12"/>
      <c r="Q12" s="12"/>
      <c r="R12" s="12"/>
      <c r="S12" s="12"/>
      <c r="T12" s="12"/>
    </row>
    <row r="13" spans="1:28">
      <c r="A13">
        <v>0</v>
      </c>
      <c r="B13" s="4">
        <v>9</v>
      </c>
      <c r="C13" s="53" t="s">
        <v>28</v>
      </c>
      <c r="D13" s="50"/>
      <c r="E13" s="50"/>
      <c r="F13" s="50"/>
      <c r="G13" s="50"/>
      <c r="H13" s="50"/>
      <c r="I13" s="15"/>
      <c r="J13" s="23"/>
      <c r="K13" s="24"/>
      <c r="L13" s="24"/>
      <c r="M13">
        <v>2</v>
      </c>
      <c r="N13" s="3">
        <v>41</v>
      </c>
      <c r="O13" s="1" t="s">
        <v>29</v>
      </c>
      <c r="P13" s="12"/>
      <c r="Q13" s="12"/>
      <c r="R13" s="12"/>
      <c r="S13" s="12"/>
      <c r="T13" s="12"/>
    </row>
    <row r="14" spans="1:28">
      <c r="A14">
        <v>0</v>
      </c>
      <c r="B14" s="1">
        <v>10</v>
      </c>
      <c r="C14" s="51" t="s">
        <v>31</v>
      </c>
      <c r="D14" s="52">
        <v>16.07</v>
      </c>
      <c r="E14" s="52">
        <v>24.63</v>
      </c>
      <c r="F14" s="52">
        <v>29.15</v>
      </c>
      <c r="G14" s="52">
        <v>22.12</v>
      </c>
      <c r="H14" s="52">
        <v>30.15</v>
      </c>
      <c r="I14" s="15"/>
      <c r="J14" s="18"/>
      <c r="K14" s="32"/>
      <c r="L14" s="19"/>
      <c r="M14">
        <v>2</v>
      </c>
      <c r="N14" s="3">
        <v>42</v>
      </c>
      <c r="O14" s="1" t="s">
        <v>30</v>
      </c>
      <c r="P14" s="12"/>
      <c r="Q14" s="12"/>
      <c r="R14" s="12"/>
      <c r="S14" s="12"/>
      <c r="T14" s="12"/>
    </row>
    <row r="15" spans="1:28">
      <c r="A15">
        <v>0</v>
      </c>
      <c r="B15" s="1">
        <v>11</v>
      </c>
      <c r="C15" s="51" t="s">
        <v>33</v>
      </c>
      <c r="D15" s="52">
        <v>10.19</v>
      </c>
      <c r="E15" s="52">
        <v>18.53</v>
      </c>
      <c r="F15" s="52">
        <v>21.11</v>
      </c>
      <c r="G15" s="52">
        <v>23.26</v>
      </c>
      <c r="H15" s="52">
        <v>26.91</v>
      </c>
      <c r="I15" s="15"/>
      <c r="J15" s="23"/>
      <c r="K15" s="24"/>
      <c r="L15" s="24"/>
      <c r="M15">
        <v>2</v>
      </c>
      <c r="N15" s="3">
        <v>43</v>
      </c>
      <c r="O15" s="1" t="s">
        <v>32</v>
      </c>
      <c r="P15" s="12"/>
      <c r="Q15" s="12"/>
      <c r="R15" s="12"/>
      <c r="S15" s="12"/>
      <c r="T15" s="12"/>
    </row>
    <row r="16" spans="1:28">
      <c r="A16">
        <v>0</v>
      </c>
      <c r="B16" s="1">
        <v>12</v>
      </c>
      <c r="C16" s="51" t="s">
        <v>35</v>
      </c>
      <c r="D16" s="52">
        <v>11.9</v>
      </c>
      <c r="E16" s="52">
        <v>17.350000000000001</v>
      </c>
      <c r="F16" s="52">
        <v>26.12</v>
      </c>
      <c r="G16" s="52">
        <v>22.82</v>
      </c>
      <c r="H16" s="52">
        <v>21.81</v>
      </c>
      <c r="I16" s="15"/>
      <c r="J16" s="23"/>
      <c r="K16" s="24"/>
      <c r="L16" s="24"/>
      <c r="M16">
        <v>2</v>
      </c>
      <c r="N16" s="3">
        <v>44</v>
      </c>
      <c r="O16" s="1" t="s">
        <v>34</v>
      </c>
      <c r="P16" s="12"/>
      <c r="Q16" s="12"/>
      <c r="R16" s="12"/>
      <c r="S16" s="12"/>
      <c r="T16" s="12"/>
    </row>
    <row r="17" spans="1:30">
      <c r="A17">
        <v>0</v>
      </c>
      <c r="B17" s="1">
        <v>13</v>
      </c>
      <c r="C17" s="51" t="s">
        <v>37</v>
      </c>
      <c r="D17" s="52">
        <v>15.56</v>
      </c>
      <c r="E17" s="52">
        <v>19.88</v>
      </c>
      <c r="F17" s="52">
        <v>29.38</v>
      </c>
      <c r="G17" s="52">
        <v>28.71</v>
      </c>
      <c r="H17" s="52">
        <v>24.36</v>
      </c>
      <c r="I17" s="15"/>
      <c r="M17">
        <v>2</v>
      </c>
      <c r="O17" s="4" t="s">
        <v>36</v>
      </c>
    </row>
    <row r="18" spans="1:30">
      <c r="A18">
        <v>0</v>
      </c>
      <c r="B18" s="1">
        <v>14</v>
      </c>
      <c r="C18" s="51" t="s">
        <v>39</v>
      </c>
      <c r="D18" s="52">
        <v>14.74</v>
      </c>
      <c r="E18" s="52">
        <v>16.96</v>
      </c>
      <c r="F18" s="52">
        <v>21.82</v>
      </c>
      <c r="G18" s="52">
        <v>25.22</v>
      </c>
      <c r="H18" s="52">
        <v>21.26</v>
      </c>
      <c r="I18" s="15"/>
      <c r="J18" s="23"/>
      <c r="K18" s="24"/>
      <c r="L18" s="24"/>
      <c r="M18">
        <v>2</v>
      </c>
      <c r="O18" s="4" t="s">
        <v>38</v>
      </c>
      <c r="P18" s="25"/>
      <c r="Q18" s="25"/>
      <c r="R18" s="24"/>
      <c r="S18" s="26"/>
      <c r="T18" s="24"/>
      <c r="U18" s="26"/>
    </row>
    <row r="19" spans="1:30">
      <c r="A19">
        <v>0</v>
      </c>
      <c r="B19" s="4">
        <v>15</v>
      </c>
      <c r="C19" s="53" t="s">
        <v>28</v>
      </c>
      <c r="D19" s="50"/>
      <c r="E19" s="50"/>
      <c r="F19" s="50"/>
      <c r="G19" s="50"/>
      <c r="H19" s="50"/>
      <c r="I19" s="15"/>
      <c r="J19" s="23"/>
      <c r="K19" s="24"/>
      <c r="L19" s="24"/>
      <c r="M19">
        <v>2</v>
      </c>
      <c r="O19" s="4" t="s">
        <v>40</v>
      </c>
      <c r="P19" s="25"/>
      <c r="Q19" s="25"/>
      <c r="R19" s="24"/>
      <c r="S19" s="26"/>
      <c r="T19" s="24"/>
      <c r="U19" s="26"/>
    </row>
    <row r="20" spans="1:30">
      <c r="A20">
        <v>0</v>
      </c>
      <c r="B20" s="4">
        <v>16</v>
      </c>
      <c r="C20" s="53" t="s">
        <v>28</v>
      </c>
      <c r="D20" s="50"/>
      <c r="E20" s="50"/>
      <c r="F20" s="50"/>
      <c r="G20" s="50"/>
      <c r="H20" s="50"/>
      <c r="I20" s="15"/>
      <c r="J20" s="23"/>
      <c r="K20" s="24"/>
      <c r="L20" s="24"/>
      <c r="M20">
        <v>2</v>
      </c>
      <c r="O20" s="4" t="s">
        <v>41</v>
      </c>
      <c r="P20" s="31"/>
      <c r="Q20" s="31"/>
      <c r="R20" s="32"/>
      <c r="S20" s="17"/>
      <c r="T20" s="19"/>
      <c r="U20" s="17"/>
    </row>
    <row r="21" spans="1:30" ht="15.75" customHeight="1">
      <c r="A21">
        <v>0</v>
      </c>
      <c r="B21" s="1">
        <v>17</v>
      </c>
      <c r="C21" s="51" t="s">
        <v>43</v>
      </c>
      <c r="D21" s="52">
        <v>8.67</v>
      </c>
      <c r="E21" s="52">
        <v>13.46</v>
      </c>
      <c r="F21" s="52">
        <v>19.59</v>
      </c>
      <c r="G21" s="52">
        <v>33.53</v>
      </c>
      <c r="H21" s="52">
        <v>24.76</v>
      </c>
      <c r="I21" s="15"/>
      <c r="J21" s="23"/>
      <c r="K21" s="24"/>
      <c r="L21" s="24"/>
      <c r="M21">
        <v>2</v>
      </c>
      <c r="O21" s="4" t="s">
        <v>42</v>
      </c>
      <c r="P21" s="31"/>
      <c r="Q21" s="31"/>
      <c r="R21" s="32"/>
      <c r="S21" s="17"/>
      <c r="T21" s="19"/>
      <c r="U21" s="17"/>
      <c r="Y21" s="25"/>
      <c r="Z21" s="25"/>
      <c r="AA21" s="31"/>
      <c r="AB21" s="31"/>
      <c r="AC21" s="25"/>
      <c r="AD21" s="25"/>
    </row>
    <row r="22" spans="1:30" ht="15.75" customHeight="1">
      <c r="A22">
        <v>0</v>
      </c>
      <c r="B22" s="1">
        <v>18</v>
      </c>
      <c r="C22" s="51" t="s">
        <v>44</v>
      </c>
      <c r="D22" s="52">
        <v>8.6199999999999992</v>
      </c>
      <c r="E22" s="52">
        <v>28.99</v>
      </c>
      <c r="F22" s="52">
        <v>22.38</v>
      </c>
      <c r="G22" s="52">
        <v>21.2</v>
      </c>
      <c r="H22" s="52">
        <v>35.21</v>
      </c>
      <c r="I22" s="15"/>
      <c r="J22" s="23"/>
      <c r="K22" s="24"/>
      <c r="L22" s="24"/>
      <c r="P22" s="25"/>
      <c r="Q22" s="25"/>
      <c r="R22" s="24"/>
      <c r="S22" s="26"/>
      <c r="T22" s="24"/>
      <c r="U22" s="26"/>
    </row>
    <row r="23" spans="1:30" ht="15.75" customHeight="1">
      <c r="A23">
        <v>0</v>
      </c>
      <c r="B23" s="1">
        <v>19</v>
      </c>
      <c r="C23" s="51" t="s">
        <v>46</v>
      </c>
      <c r="D23" s="52">
        <v>11.85</v>
      </c>
      <c r="E23" s="52">
        <v>12.19</v>
      </c>
      <c r="F23" s="52">
        <v>24.52</v>
      </c>
      <c r="G23" s="52">
        <v>27.09</v>
      </c>
      <c r="H23" s="52">
        <v>24.35</v>
      </c>
      <c r="I23" s="15"/>
      <c r="N23" s="42" t="s">
        <v>45</v>
      </c>
      <c r="O23" s="43"/>
      <c r="P23" s="50"/>
      <c r="Q23" s="50"/>
      <c r="R23" s="50"/>
      <c r="S23" s="50"/>
      <c r="T23" s="50"/>
    </row>
    <row r="24" spans="1:30" ht="15.75" customHeight="1">
      <c r="A24">
        <v>0</v>
      </c>
      <c r="B24" s="1">
        <v>20</v>
      </c>
      <c r="C24" s="51" t="s">
        <v>47</v>
      </c>
      <c r="D24" s="52">
        <v>11.1</v>
      </c>
      <c r="E24" s="52">
        <v>17.510000000000002</v>
      </c>
      <c r="F24" s="52">
        <v>27.65</v>
      </c>
      <c r="G24" s="52">
        <v>22.61</v>
      </c>
      <c r="H24" s="52">
        <v>21.14</v>
      </c>
      <c r="I24" s="15"/>
      <c r="J24" s="23"/>
      <c r="K24" s="24"/>
      <c r="L24" s="24"/>
      <c r="M24" t="s">
        <v>117</v>
      </c>
      <c r="N24" s="51" t="s">
        <v>2</v>
      </c>
      <c r="O24" s="51" t="s">
        <v>3</v>
      </c>
      <c r="P24" s="52" t="s">
        <v>104</v>
      </c>
      <c r="Q24" s="52" t="s">
        <v>105</v>
      </c>
      <c r="R24" s="52" t="s">
        <v>113</v>
      </c>
      <c r="S24" s="52" t="s">
        <v>101</v>
      </c>
      <c r="T24" s="52" t="s">
        <v>100</v>
      </c>
    </row>
    <row r="25" spans="1:30" ht="15.75" customHeight="1">
      <c r="A25">
        <v>0</v>
      </c>
      <c r="B25" s="1">
        <v>21</v>
      </c>
      <c r="C25" s="51" t="s">
        <v>49</v>
      </c>
      <c r="D25" s="52">
        <v>11.65</v>
      </c>
      <c r="E25" s="52">
        <v>18.14</v>
      </c>
      <c r="F25" s="52">
        <v>26.3</v>
      </c>
      <c r="G25" s="52">
        <v>22.31</v>
      </c>
      <c r="H25" s="52">
        <v>21.6</v>
      </c>
      <c r="I25" s="15"/>
      <c r="J25" s="18"/>
      <c r="K25" s="19"/>
      <c r="L25" s="19"/>
      <c r="M25">
        <v>1</v>
      </c>
      <c r="N25" s="50"/>
      <c r="O25" s="53" t="s">
        <v>48</v>
      </c>
      <c r="P25" s="60">
        <v>6.4</v>
      </c>
      <c r="Q25" s="60">
        <v>19.899999999999999</v>
      </c>
      <c r="R25" s="60">
        <v>27.9</v>
      </c>
      <c r="S25" s="60">
        <v>20.7</v>
      </c>
      <c r="T25" s="60">
        <v>25.2</v>
      </c>
    </row>
    <row r="26" spans="1:30" ht="15.75" customHeight="1">
      <c r="A26">
        <v>0</v>
      </c>
      <c r="B26" s="1">
        <v>22</v>
      </c>
      <c r="C26" s="51" t="s">
        <v>51</v>
      </c>
      <c r="D26" s="52">
        <v>9.86</v>
      </c>
      <c r="E26" s="52">
        <v>16.149999999999999</v>
      </c>
      <c r="F26" s="52">
        <v>28.62</v>
      </c>
      <c r="G26" s="52">
        <v>25.78</v>
      </c>
      <c r="H26" s="52">
        <v>19.59</v>
      </c>
      <c r="I26" s="15"/>
      <c r="J26" s="18"/>
      <c r="K26" s="32"/>
      <c r="L26" s="19"/>
      <c r="M26">
        <v>1</v>
      </c>
      <c r="N26" s="50"/>
      <c r="O26" s="53" t="s">
        <v>50</v>
      </c>
      <c r="P26" s="60">
        <v>9.9</v>
      </c>
      <c r="Q26" s="60">
        <v>17</v>
      </c>
      <c r="R26" s="60">
        <v>22.6</v>
      </c>
      <c r="S26" s="60">
        <v>21.7</v>
      </c>
      <c r="T26" s="60">
        <v>28.7</v>
      </c>
    </row>
    <row r="27" spans="1:30" ht="15.75" customHeight="1">
      <c r="A27">
        <v>0</v>
      </c>
      <c r="B27" s="1">
        <v>23</v>
      </c>
      <c r="C27" s="51" t="s">
        <v>53</v>
      </c>
      <c r="D27" s="52">
        <v>8.6199999999999992</v>
      </c>
      <c r="E27" s="52">
        <v>10.7</v>
      </c>
      <c r="F27" s="52">
        <v>25.25</v>
      </c>
      <c r="G27" s="52">
        <v>31.85</v>
      </c>
      <c r="H27" s="52">
        <v>23.57</v>
      </c>
      <c r="I27" s="15"/>
      <c r="J27" s="23"/>
      <c r="K27" s="24"/>
      <c r="L27" s="24"/>
      <c r="M27">
        <v>1</v>
      </c>
      <c r="N27" s="50"/>
      <c r="O27" s="53" t="s">
        <v>52</v>
      </c>
      <c r="P27" s="60">
        <v>7.7</v>
      </c>
      <c r="Q27" s="60">
        <v>17.600000000000001</v>
      </c>
      <c r="R27" s="60">
        <v>20.2</v>
      </c>
      <c r="S27" s="60">
        <v>27.2</v>
      </c>
      <c r="T27" s="68">
        <v>27</v>
      </c>
    </row>
    <row r="28" spans="1:30" ht="15.75" customHeight="1">
      <c r="A28">
        <v>0</v>
      </c>
      <c r="B28" s="1">
        <v>24</v>
      </c>
      <c r="C28" s="51" t="s">
        <v>55</v>
      </c>
      <c r="D28" s="54">
        <v>12.14</v>
      </c>
      <c r="E28" s="52">
        <v>16.93</v>
      </c>
      <c r="F28" s="52">
        <v>23.38</v>
      </c>
      <c r="G28" s="52">
        <v>27.55</v>
      </c>
      <c r="H28" s="52">
        <v>19.100000000000001</v>
      </c>
      <c r="I28" s="15"/>
      <c r="J28" s="23"/>
      <c r="K28" s="24"/>
      <c r="L28" s="24"/>
      <c r="M28">
        <v>1</v>
      </c>
      <c r="N28" s="50"/>
      <c r="O28" s="53" t="s">
        <v>54</v>
      </c>
      <c r="P28" s="60">
        <v>5.9</v>
      </c>
      <c r="Q28" s="60">
        <v>15</v>
      </c>
      <c r="R28" s="60">
        <v>22.3</v>
      </c>
      <c r="S28" s="60">
        <v>27.6</v>
      </c>
      <c r="T28" s="60">
        <v>29.1</v>
      </c>
    </row>
    <row r="29" spans="1:30" ht="15.75" customHeight="1">
      <c r="A29">
        <v>0</v>
      </c>
      <c r="B29" s="1">
        <v>25</v>
      </c>
      <c r="C29" s="51" t="s">
        <v>57</v>
      </c>
      <c r="D29" s="52">
        <v>11.38</v>
      </c>
      <c r="E29" s="52">
        <v>15.27</v>
      </c>
      <c r="F29" s="52">
        <v>23.91</v>
      </c>
      <c r="G29" s="52">
        <v>19.649999999999999</v>
      </c>
      <c r="H29" s="52">
        <v>29.79</v>
      </c>
      <c r="I29" s="15"/>
      <c r="M29">
        <v>1</v>
      </c>
      <c r="N29" s="50"/>
      <c r="O29" s="53" t="s">
        <v>56</v>
      </c>
      <c r="P29" s="60">
        <v>7.2</v>
      </c>
      <c r="Q29" s="60">
        <v>19.100000000000001</v>
      </c>
      <c r="R29" s="60">
        <v>19.600000000000001</v>
      </c>
      <c r="S29" s="60">
        <v>27.5</v>
      </c>
      <c r="T29" s="60">
        <v>26.6</v>
      </c>
    </row>
    <row r="30" spans="1:30" ht="15.75" customHeight="1">
      <c r="A30">
        <v>0</v>
      </c>
      <c r="B30" s="1">
        <v>26</v>
      </c>
      <c r="C30" s="51" t="s">
        <v>59</v>
      </c>
      <c r="D30" s="52">
        <v>10.69</v>
      </c>
      <c r="E30" s="52">
        <v>14.06</v>
      </c>
      <c r="F30" s="52">
        <v>22.88</v>
      </c>
      <c r="G30" s="52">
        <v>32.1</v>
      </c>
      <c r="H30" s="52">
        <v>20.27</v>
      </c>
      <c r="I30" s="15"/>
      <c r="J30" s="23"/>
      <c r="K30" s="24"/>
      <c r="L30" s="24"/>
      <c r="M30">
        <v>1</v>
      </c>
      <c r="N30" s="50"/>
      <c r="O30" s="53" t="s">
        <v>58</v>
      </c>
      <c r="P30" s="60">
        <v>9.1</v>
      </c>
      <c r="Q30" s="60">
        <v>23.2</v>
      </c>
      <c r="R30" s="60">
        <v>27.5</v>
      </c>
      <c r="S30" s="60">
        <v>34.5</v>
      </c>
      <c r="T30" s="60">
        <v>26.6</v>
      </c>
      <c r="U30" s="26"/>
      <c r="X30" s="1"/>
    </row>
    <row r="31" spans="1:30" ht="15.75" customHeight="1">
      <c r="A31">
        <v>0</v>
      </c>
      <c r="B31" s="1">
        <v>27</v>
      </c>
      <c r="C31" s="51" t="s">
        <v>61</v>
      </c>
      <c r="D31" s="52">
        <v>14.18</v>
      </c>
      <c r="E31" s="52">
        <v>13.6</v>
      </c>
      <c r="F31" s="52">
        <v>23.47</v>
      </c>
      <c r="G31" s="52">
        <v>23.4</v>
      </c>
      <c r="H31" s="52">
        <v>25.36</v>
      </c>
      <c r="I31" s="15"/>
      <c r="J31" s="23"/>
      <c r="K31" s="24"/>
      <c r="L31" s="24"/>
      <c r="M31">
        <v>1</v>
      </c>
      <c r="N31" s="50"/>
      <c r="O31" s="53" t="s">
        <v>60</v>
      </c>
      <c r="P31" s="60">
        <v>9.9</v>
      </c>
      <c r="Q31" s="60">
        <v>17</v>
      </c>
      <c r="R31" s="60">
        <v>22.6</v>
      </c>
      <c r="S31" s="60">
        <v>21.7</v>
      </c>
      <c r="T31" s="60">
        <v>28.7</v>
      </c>
      <c r="U31" s="41"/>
      <c r="W31" s="1"/>
      <c r="X31" s="19"/>
    </row>
    <row r="32" spans="1:30" ht="15.75" customHeight="1">
      <c r="A32">
        <v>0</v>
      </c>
      <c r="B32" s="1">
        <v>28</v>
      </c>
      <c r="C32" s="51" t="s">
        <v>63</v>
      </c>
      <c r="D32" s="52">
        <v>7.5</v>
      </c>
      <c r="E32" s="52">
        <v>16.73</v>
      </c>
      <c r="F32" s="52">
        <v>21.1</v>
      </c>
      <c r="G32" s="52">
        <v>32.85</v>
      </c>
      <c r="H32" s="52">
        <v>20.92</v>
      </c>
      <c r="I32" s="15"/>
      <c r="J32" s="23"/>
      <c r="K32" s="28"/>
      <c r="L32" s="24"/>
      <c r="M32">
        <v>1</v>
      </c>
      <c r="N32" s="50"/>
      <c r="O32" s="53" t="s">
        <v>62</v>
      </c>
      <c r="P32" s="60">
        <v>7.7</v>
      </c>
      <c r="Q32" s="60">
        <v>17.600000000000001</v>
      </c>
      <c r="R32" s="60">
        <v>20.2</v>
      </c>
      <c r="S32" s="60">
        <v>27.2</v>
      </c>
      <c r="T32" s="68">
        <v>27</v>
      </c>
      <c r="U32" s="41"/>
      <c r="W32" s="1"/>
      <c r="X32" s="19"/>
    </row>
    <row r="33" spans="1:24" ht="15.75" customHeight="1">
      <c r="A33">
        <v>0</v>
      </c>
      <c r="B33" s="1">
        <v>29</v>
      </c>
      <c r="C33" s="51" t="s">
        <v>65</v>
      </c>
      <c r="D33" s="52">
        <v>7.57</v>
      </c>
      <c r="E33" s="52">
        <v>11.94</v>
      </c>
      <c r="F33" s="52">
        <v>25.48</v>
      </c>
      <c r="G33" s="52">
        <v>34.22</v>
      </c>
      <c r="H33" s="52">
        <v>20.78</v>
      </c>
      <c r="I33" s="15"/>
      <c r="J33" s="23"/>
      <c r="K33" s="24"/>
      <c r="L33" s="24"/>
      <c r="M33">
        <v>1</v>
      </c>
      <c r="N33" s="50"/>
      <c r="O33" s="53" t="s">
        <v>64</v>
      </c>
      <c r="P33" s="60">
        <v>5.9</v>
      </c>
      <c r="Q33" s="60">
        <v>15</v>
      </c>
      <c r="R33" s="60">
        <v>22.3</v>
      </c>
      <c r="S33" s="60">
        <v>27.6</v>
      </c>
      <c r="T33" s="60">
        <v>29.1</v>
      </c>
      <c r="U33" s="41"/>
      <c r="W33" s="1"/>
      <c r="X33" s="19"/>
    </row>
    <row r="34" spans="1:24" ht="15.75" customHeight="1">
      <c r="A34">
        <v>0</v>
      </c>
      <c r="B34" s="1">
        <v>30</v>
      </c>
      <c r="C34" s="51" t="s">
        <v>67</v>
      </c>
      <c r="D34" s="52">
        <v>8.82</v>
      </c>
      <c r="E34" s="52">
        <v>16.260000000000002</v>
      </c>
      <c r="F34" s="52">
        <v>23.51</v>
      </c>
      <c r="G34" s="52">
        <v>22.49</v>
      </c>
      <c r="H34" s="52">
        <v>28.92</v>
      </c>
      <c r="I34" s="15"/>
      <c r="J34" s="23"/>
      <c r="K34" s="24"/>
      <c r="L34" s="24"/>
      <c r="M34">
        <v>1</v>
      </c>
      <c r="N34" s="50"/>
      <c r="O34" s="53" t="s">
        <v>66</v>
      </c>
      <c r="P34" s="60">
        <v>7.2</v>
      </c>
      <c r="Q34" s="60">
        <v>19.100000000000001</v>
      </c>
      <c r="R34" s="60">
        <v>19.600000000000001</v>
      </c>
      <c r="S34" s="60">
        <v>27.5</v>
      </c>
      <c r="T34" s="60">
        <v>26.6</v>
      </c>
      <c r="U34" s="41"/>
      <c r="W34" s="1"/>
      <c r="X34" s="19"/>
    </row>
    <row r="35" spans="1:24" ht="15.75" customHeight="1">
      <c r="A35">
        <v>0</v>
      </c>
      <c r="B35" s="1">
        <v>31</v>
      </c>
      <c r="C35" s="51" t="s">
        <v>69</v>
      </c>
      <c r="D35" s="52">
        <v>9.61</v>
      </c>
      <c r="E35" s="52">
        <v>13.01</v>
      </c>
      <c r="F35" s="52">
        <v>21.29</v>
      </c>
      <c r="G35" s="52">
        <v>28.82</v>
      </c>
      <c r="H35" s="52">
        <v>27.28</v>
      </c>
      <c r="I35" s="15"/>
      <c r="M35">
        <v>1</v>
      </c>
      <c r="N35" s="50"/>
      <c r="O35" s="53" t="s">
        <v>68</v>
      </c>
      <c r="P35" s="60">
        <v>9.1</v>
      </c>
      <c r="Q35" s="60">
        <v>23.2</v>
      </c>
      <c r="R35" s="60">
        <v>27.5</v>
      </c>
      <c r="S35" s="60">
        <v>34.5</v>
      </c>
      <c r="T35" s="60">
        <v>26.6</v>
      </c>
      <c r="U35" s="41"/>
    </row>
    <row r="36" spans="1:24" ht="15.75" customHeight="1">
      <c r="A36">
        <v>0</v>
      </c>
      <c r="B36" s="1">
        <v>32</v>
      </c>
      <c r="C36" s="51" t="s">
        <v>71</v>
      </c>
      <c r="D36" s="52">
        <v>9.19</v>
      </c>
      <c r="E36" s="52">
        <v>14.54</v>
      </c>
      <c r="F36" s="52">
        <v>26.65</v>
      </c>
      <c r="G36" s="52">
        <v>25.06</v>
      </c>
      <c r="H36" s="52">
        <v>24.57</v>
      </c>
      <c r="I36" s="15"/>
      <c r="J36" s="23"/>
      <c r="K36" s="24"/>
      <c r="L36" s="24"/>
      <c r="M36">
        <v>1</v>
      </c>
      <c r="N36" s="50"/>
      <c r="O36" s="53" t="s">
        <v>70</v>
      </c>
      <c r="P36" s="60"/>
      <c r="Q36" s="60"/>
      <c r="R36" s="60"/>
      <c r="S36" s="60"/>
      <c r="T36" s="60"/>
      <c r="U36" s="26"/>
    </row>
    <row r="37" spans="1:24" ht="15.75" customHeight="1">
      <c r="A37">
        <v>0</v>
      </c>
      <c r="B37" s="1">
        <v>33</v>
      </c>
      <c r="C37" s="51" t="s">
        <v>73</v>
      </c>
      <c r="D37" s="52">
        <v>10.25</v>
      </c>
      <c r="E37" s="52">
        <v>16.72</v>
      </c>
      <c r="F37" s="52">
        <v>21.38</v>
      </c>
      <c r="G37" s="52">
        <v>24.66</v>
      </c>
      <c r="H37" s="52">
        <v>27</v>
      </c>
      <c r="I37" s="15"/>
      <c r="J37" s="18"/>
      <c r="K37" s="19"/>
      <c r="L37" s="19"/>
      <c r="M37">
        <v>1</v>
      </c>
      <c r="N37" s="50"/>
      <c r="O37" s="53" t="s">
        <v>72</v>
      </c>
      <c r="P37" s="60"/>
      <c r="Q37" s="60"/>
      <c r="R37" s="60"/>
      <c r="S37" s="60"/>
      <c r="T37" s="60"/>
      <c r="U37" s="26"/>
    </row>
    <row r="38" spans="1:24" ht="15.75" customHeight="1">
      <c r="A38">
        <v>0</v>
      </c>
      <c r="B38" s="1">
        <v>34</v>
      </c>
      <c r="C38" s="51" t="s">
        <v>75</v>
      </c>
      <c r="D38" s="55"/>
      <c r="E38" s="56"/>
      <c r="F38" s="55"/>
      <c r="G38" s="56"/>
      <c r="H38" s="56"/>
      <c r="I38" s="15"/>
      <c r="J38" s="23"/>
      <c r="K38" s="24"/>
      <c r="L38" s="24"/>
      <c r="M38">
        <v>1</v>
      </c>
      <c r="N38" s="50"/>
      <c r="O38" s="53" t="s">
        <v>74</v>
      </c>
      <c r="P38" s="60"/>
      <c r="Q38" s="60"/>
      <c r="R38" s="60"/>
      <c r="S38" s="60"/>
      <c r="T38" s="60"/>
      <c r="U38" s="26"/>
    </row>
    <row r="39" spans="1:24" ht="15.75" customHeight="1">
      <c r="A39">
        <v>0</v>
      </c>
      <c r="B39" s="1">
        <v>35</v>
      </c>
      <c r="C39" s="51" t="s">
        <v>77</v>
      </c>
      <c r="D39" s="57"/>
      <c r="E39" s="57"/>
      <c r="F39" s="57"/>
      <c r="G39" s="57"/>
      <c r="H39" s="57"/>
      <c r="I39" s="15"/>
      <c r="J39" s="23"/>
      <c r="K39" s="24"/>
      <c r="L39" s="24"/>
      <c r="M39">
        <v>1</v>
      </c>
      <c r="N39" s="50"/>
      <c r="O39" s="53" t="s">
        <v>76</v>
      </c>
      <c r="P39" s="50"/>
      <c r="Q39" s="50"/>
      <c r="R39" s="50"/>
      <c r="S39" s="50"/>
      <c r="T39" s="50"/>
      <c r="U39" s="26"/>
    </row>
    <row r="40" spans="1:24" ht="15.75" customHeight="1">
      <c r="B40" s="1"/>
      <c r="C40" s="50"/>
      <c r="D40" s="55"/>
      <c r="E40" s="56"/>
      <c r="F40" s="55"/>
      <c r="G40" s="56"/>
      <c r="H40" s="56"/>
      <c r="I40" s="15"/>
      <c r="J40" s="23"/>
      <c r="K40" s="24"/>
      <c r="L40" s="24"/>
      <c r="N40" s="50"/>
      <c r="O40" s="69"/>
      <c r="P40" s="50"/>
      <c r="Q40" s="50"/>
      <c r="R40" s="50"/>
      <c r="S40" s="50"/>
      <c r="T40" s="50"/>
      <c r="U40" s="26"/>
    </row>
    <row r="41" spans="1:24" ht="15.75" customHeight="1">
      <c r="B41" s="1"/>
      <c r="C41" s="50"/>
      <c r="D41" s="55"/>
      <c r="E41" s="56"/>
      <c r="F41" s="55"/>
      <c r="G41" s="56"/>
      <c r="H41" s="56"/>
      <c r="I41" s="15"/>
    </row>
    <row r="42" spans="1:24" ht="15.75" customHeight="1">
      <c r="B42" s="5"/>
      <c r="C42" s="58" t="s">
        <v>78</v>
      </c>
      <c r="D42" s="50"/>
      <c r="E42" s="50"/>
      <c r="F42" s="50"/>
      <c r="G42" s="50"/>
      <c r="H42" s="50"/>
      <c r="I42" s="15"/>
    </row>
    <row r="43" spans="1:24" ht="15.75" customHeight="1">
      <c r="A43">
        <v>0</v>
      </c>
      <c r="B43" s="8" t="s">
        <v>79</v>
      </c>
      <c r="C43" s="58" t="s">
        <v>80</v>
      </c>
      <c r="D43" s="59" t="s">
        <v>100</v>
      </c>
      <c r="E43" s="59" t="s">
        <v>101</v>
      </c>
      <c r="F43" s="59" t="s">
        <v>102</v>
      </c>
      <c r="G43" s="59" t="s">
        <v>105</v>
      </c>
      <c r="H43" s="59" t="s">
        <v>104</v>
      </c>
      <c r="I43" s="15"/>
    </row>
    <row r="44" spans="1:24" ht="15.75" customHeight="1">
      <c r="A44">
        <v>0</v>
      </c>
      <c r="B44" s="9">
        <v>18</v>
      </c>
      <c r="C44" s="49" t="s">
        <v>44</v>
      </c>
      <c r="D44" s="60">
        <v>11.85</v>
      </c>
      <c r="E44" s="60">
        <v>12.19</v>
      </c>
      <c r="F44" s="60">
        <v>24.52</v>
      </c>
      <c r="G44" s="60">
        <v>27.09</v>
      </c>
      <c r="H44" s="60">
        <v>24.35</v>
      </c>
      <c r="I44" s="15"/>
    </row>
    <row r="45" spans="1:24" ht="15.75" customHeight="1">
      <c r="A45">
        <v>0</v>
      </c>
      <c r="B45" s="9">
        <v>19</v>
      </c>
      <c r="C45" s="49" t="s">
        <v>46</v>
      </c>
      <c r="D45" s="60">
        <v>11.1</v>
      </c>
      <c r="E45" s="60">
        <v>17.510000000000002</v>
      </c>
      <c r="F45" s="60">
        <v>27.65</v>
      </c>
      <c r="G45" s="60">
        <v>22.61</v>
      </c>
      <c r="H45" s="60">
        <v>21.14</v>
      </c>
      <c r="I45" s="15"/>
    </row>
    <row r="46" spans="1:24" ht="15.75" customHeight="1">
      <c r="A46">
        <v>0</v>
      </c>
      <c r="B46" s="9">
        <v>22</v>
      </c>
      <c r="C46" s="49" t="s">
        <v>51</v>
      </c>
      <c r="D46" s="60">
        <v>8.6199999999999992</v>
      </c>
      <c r="E46" s="60">
        <v>10.7</v>
      </c>
      <c r="F46" s="60">
        <v>25.25</v>
      </c>
      <c r="G46" s="60">
        <v>31.85</v>
      </c>
      <c r="H46" s="60">
        <v>23.57</v>
      </c>
      <c r="I46" s="15"/>
    </row>
    <row r="47" spans="1:24" ht="15.75" customHeight="1">
      <c r="A47">
        <v>0</v>
      </c>
      <c r="B47" s="9">
        <v>25</v>
      </c>
      <c r="C47" s="49" t="s">
        <v>57</v>
      </c>
      <c r="D47" s="60">
        <v>10.69</v>
      </c>
      <c r="E47" s="60">
        <v>14.06</v>
      </c>
      <c r="F47" s="60">
        <v>22.88</v>
      </c>
      <c r="G47" s="60">
        <v>32.1</v>
      </c>
      <c r="H47" s="60">
        <v>20.27</v>
      </c>
      <c r="I47" s="15"/>
    </row>
    <row r="48" spans="1:24" ht="15.75" customHeight="1">
      <c r="A48">
        <v>0</v>
      </c>
      <c r="B48" s="9">
        <v>27</v>
      </c>
      <c r="C48" s="49" t="s">
        <v>61</v>
      </c>
      <c r="D48" s="60">
        <v>7.5</v>
      </c>
      <c r="E48" s="60">
        <v>16.73</v>
      </c>
      <c r="F48" s="60">
        <v>21.1</v>
      </c>
      <c r="G48" s="60">
        <v>32.85</v>
      </c>
      <c r="H48" s="60">
        <v>20.92</v>
      </c>
      <c r="I48" s="15"/>
    </row>
    <row r="49" spans="1:30" ht="15.75" customHeight="1">
      <c r="A49">
        <v>0</v>
      </c>
      <c r="B49" s="9">
        <v>29</v>
      </c>
      <c r="C49" s="49" t="s">
        <v>65</v>
      </c>
      <c r="D49" s="60">
        <v>8.82</v>
      </c>
      <c r="E49" s="60">
        <v>16.260000000000002</v>
      </c>
      <c r="F49" s="60">
        <v>23.51</v>
      </c>
      <c r="G49" s="60">
        <v>22.49</v>
      </c>
      <c r="H49" s="60">
        <v>28.92</v>
      </c>
      <c r="I49" s="15"/>
    </row>
    <row r="50" spans="1:30" ht="15.75" customHeight="1">
      <c r="A50">
        <v>0</v>
      </c>
      <c r="B50" s="9">
        <v>30</v>
      </c>
      <c r="C50" s="49" t="s">
        <v>67</v>
      </c>
      <c r="D50" s="60">
        <v>9.61</v>
      </c>
      <c r="E50" s="60">
        <v>13.01</v>
      </c>
      <c r="F50" s="60">
        <v>21.29</v>
      </c>
      <c r="G50" s="60">
        <v>28.82</v>
      </c>
      <c r="H50" s="60">
        <v>27.28</v>
      </c>
      <c r="I50" s="15"/>
    </row>
    <row r="51" spans="1:30" ht="15.75" customHeight="1">
      <c r="B51" s="1"/>
      <c r="C51" s="50"/>
      <c r="D51" s="61"/>
      <c r="E51" s="62"/>
      <c r="F51" s="61"/>
      <c r="G51" s="62"/>
      <c r="H51" s="62"/>
      <c r="I51" s="15"/>
      <c r="J51" s="24"/>
      <c r="K51" s="24"/>
      <c r="L51" s="24"/>
    </row>
    <row r="52" spans="1:30" ht="15.75" customHeight="1">
      <c r="C52" s="50"/>
      <c r="D52" s="61"/>
      <c r="E52" s="62"/>
      <c r="F52" s="61"/>
      <c r="G52" s="62"/>
      <c r="H52" s="62"/>
      <c r="I52" s="15"/>
      <c r="J52" s="24"/>
      <c r="K52" s="24"/>
      <c r="L52" s="24"/>
    </row>
    <row r="53" spans="1:30" ht="15.75" customHeight="1">
      <c r="B53" s="7"/>
      <c r="C53" s="58" t="s">
        <v>84</v>
      </c>
      <c r="D53" s="63"/>
      <c r="E53" s="64"/>
      <c r="F53" s="65"/>
      <c r="G53" s="64"/>
      <c r="H53" s="64"/>
      <c r="I53" s="15"/>
      <c r="J53" s="19"/>
      <c r="K53" s="19"/>
      <c r="L53" s="19"/>
    </row>
    <row r="54" spans="1:30" ht="15.75" customHeight="1">
      <c r="B54" s="6" t="s">
        <v>79</v>
      </c>
      <c r="C54" s="58" t="s">
        <v>80</v>
      </c>
      <c r="D54" s="52" t="s">
        <v>104</v>
      </c>
      <c r="E54" s="52" t="s">
        <v>105</v>
      </c>
      <c r="F54" s="52" t="s">
        <v>113</v>
      </c>
      <c r="G54" s="52" t="s">
        <v>101</v>
      </c>
      <c r="H54" s="52" t="s">
        <v>100</v>
      </c>
      <c r="I54" s="15"/>
      <c r="J54" s="19"/>
      <c r="K54" s="19"/>
      <c r="L54" s="19"/>
    </row>
    <row r="55" spans="1:30" ht="15.75" customHeight="1">
      <c r="A55">
        <v>0</v>
      </c>
      <c r="B55" s="10">
        <v>1</v>
      </c>
      <c r="C55" s="49" t="s">
        <v>85</v>
      </c>
      <c r="D55" s="50"/>
      <c r="E55" s="50"/>
      <c r="F55" s="50"/>
      <c r="G55" s="50"/>
      <c r="H55" s="50"/>
      <c r="I55" s="15"/>
      <c r="J55" s="19"/>
      <c r="K55" s="19"/>
      <c r="L55" s="19"/>
      <c r="W55" s="34"/>
      <c r="Y55" s="27"/>
      <c r="Z55" s="35"/>
      <c r="AA55" s="36"/>
      <c r="AB55" s="30"/>
      <c r="AC55" s="27"/>
      <c r="AD55" s="27"/>
    </row>
    <row r="56" spans="1:30" ht="15.75" customHeight="1">
      <c r="A56">
        <v>0</v>
      </c>
      <c r="B56" s="10">
        <v>2</v>
      </c>
      <c r="C56" s="49" t="s">
        <v>13</v>
      </c>
      <c r="D56" s="66">
        <v>12</v>
      </c>
      <c r="E56" s="66">
        <v>24</v>
      </c>
      <c r="F56" s="66">
        <v>21</v>
      </c>
      <c r="G56" s="66">
        <v>21</v>
      </c>
      <c r="H56" s="66">
        <v>29</v>
      </c>
      <c r="I56" s="15"/>
      <c r="J56" s="19"/>
      <c r="K56" s="19"/>
      <c r="L56" s="19"/>
      <c r="W56" s="1"/>
      <c r="Y56" s="1"/>
      <c r="Z56" s="1"/>
      <c r="AA56" s="1"/>
      <c r="AB56" s="1"/>
      <c r="AC56" s="1"/>
      <c r="AD56" s="1"/>
    </row>
    <row r="57" spans="1:30" ht="15.75" customHeight="1">
      <c r="A57">
        <v>0</v>
      </c>
      <c r="B57" s="10">
        <v>3</v>
      </c>
      <c r="C57" s="49" t="s">
        <v>15</v>
      </c>
      <c r="D57" s="67">
        <v>14.28</v>
      </c>
      <c r="E57" s="67">
        <v>19.04</v>
      </c>
      <c r="F57" s="66">
        <v>23</v>
      </c>
      <c r="G57" s="66">
        <v>23</v>
      </c>
      <c r="H57" s="66">
        <v>23</v>
      </c>
      <c r="I57" s="15"/>
      <c r="J57" s="19"/>
      <c r="K57" s="19"/>
      <c r="L57" s="19"/>
      <c r="W57" s="1"/>
    </row>
    <row r="58" spans="1:30" ht="15.75" customHeight="1">
      <c r="A58">
        <v>0</v>
      </c>
      <c r="B58" s="10">
        <v>4</v>
      </c>
      <c r="C58" s="49" t="s">
        <v>17</v>
      </c>
      <c r="D58" s="67">
        <v>11.76</v>
      </c>
      <c r="E58" s="67">
        <v>11.76</v>
      </c>
      <c r="F58" s="67">
        <v>23.52</v>
      </c>
      <c r="G58" s="67">
        <v>23.52</v>
      </c>
      <c r="H58" s="67">
        <v>29.41</v>
      </c>
      <c r="I58" s="15"/>
      <c r="J58" s="24"/>
      <c r="K58" s="24"/>
      <c r="L58" s="24"/>
      <c r="W58" s="1"/>
    </row>
    <row r="59" spans="1:30" ht="15.75" customHeight="1">
      <c r="A59">
        <v>0</v>
      </c>
      <c r="B59" s="10">
        <v>5</v>
      </c>
      <c r="C59" s="49" t="s">
        <v>19</v>
      </c>
      <c r="D59" s="60">
        <v>9.9</v>
      </c>
      <c r="E59" s="60">
        <v>20.260000000000002</v>
      </c>
      <c r="F59" s="60">
        <v>18.5</v>
      </c>
      <c r="G59" s="60">
        <v>26.43</v>
      </c>
      <c r="H59" s="60">
        <v>24.91</v>
      </c>
      <c r="I59" s="15"/>
      <c r="J59" s="19"/>
      <c r="K59" s="19"/>
      <c r="L59" s="19"/>
      <c r="W59" s="1"/>
      <c r="Y59" s="1"/>
      <c r="Z59" s="1"/>
      <c r="AA59" s="1"/>
      <c r="AB59" s="1"/>
      <c r="AC59" s="1"/>
      <c r="AD59" s="1"/>
    </row>
    <row r="60" spans="1:30" ht="15.75" customHeight="1">
      <c r="A60">
        <v>0</v>
      </c>
      <c r="B60" s="10">
        <v>6</v>
      </c>
      <c r="C60" s="49" t="s">
        <v>22</v>
      </c>
      <c r="D60" s="60">
        <v>7.88</v>
      </c>
      <c r="E60" s="60">
        <v>20.81</v>
      </c>
      <c r="F60" s="60">
        <v>14.05</v>
      </c>
      <c r="G60" s="60">
        <v>19.34</v>
      </c>
      <c r="H60" s="60">
        <v>37.92</v>
      </c>
      <c r="I60" s="15"/>
      <c r="J60" s="19"/>
      <c r="K60" s="19"/>
      <c r="L60" s="19"/>
      <c r="W60" s="1"/>
      <c r="Y60" s="37"/>
      <c r="Z60" s="1"/>
      <c r="AA60" s="1"/>
      <c r="AB60" s="1"/>
      <c r="AC60" s="1"/>
      <c r="AD60" s="1"/>
    </row>
    <row r="61" spans="1:30" ht="15.75" customHeight="1">
      <c r="A61">
        <v>0</v>
      </c>
      <c r="B61" s="10">
        <v>7</v>
      </c>
      <c r="C61" s="49" t="s">
        <v>26</v>
      </c>
      <c r="D61" s="60">
        <v>8.1</v>
      </c>
      <c r="E61" s="60">
        <v>19.399999999999999</v>
      </c>
      <c r="F61" s="60">
        <v>15.9</v>
      </c>
      <c r="G61" s="60">
        <v>30.89</v>
      </c>
      <c r="H61" s="60">
        <v>25.73</v>
      </c>
      <c r="I61" s="15"/>
      <c r="Y61" s="38"/>
    </row>
    <row r="62" spans="1:30" ht="15.75" customHeight="1">
      <c r="A62">
        <v>0</v>
      </c>
      <c r="B62" s="10">
        <v>9</v>
      </c>
      <c r="C62" s="49" t="s">
        <v>86</v>
      </c>
      <c r="D62" s="60">
        <v>11.06</v>
      </c>
      <c r="E62" s="60">
        <v>21.05</v>
      </c>
      <c r="F62" s="60">
        <v>17.61</v>
      </c>
      <c r="G62" s="60">
        <v>26.22</v>
      </c>
      <c r="H62" s="60">
        <v>24.06</v>
      </c>
      <c r="I62" s="15"/>
    </row>
    <row r="63" spans="1:30" ht="15.75" customHeight="1">
      <c r="A63">
        <v>0</v>
      </c>
      <c r="B63" s="10">
        <v>10</v>
      </c>
      <c r="C63" s="49" t="s">
        <v>31</v>
      </c>
      <c r="D63" s="60">
        <v>13.61</v>
      </c>
      <c r="E63" s="60">
        <v>19.059999999999999</v>
      </c>
      <c r="F63" s="60">
        <v>21.97</v>
      </c>
      <c r="G63" s="60">
        <v>22.71</v>
      </c>
      <c r="H63" s="60">
        <v>22.66</v>
      </c>
      <c r="I63" s="15"/>
    </row>
    <row r="64" spans="1:30" ht="15.75" customHeight="1">
      <c r="A64">
        <v>0</v>
      </c>
      <c r="B64" s="10">
        <v>12</v>
      </c>
      <c r="C64" s="49" t="s">
        <v>35</v>
      </c>
      <c r="D64" s="60">
        <v>11.93</v>
      </c>
      <c r="E64" s="60">
        <v>16.75</v>
      </c>
      <c r="F64" s="60">
        <v>21.59</v>
      </c>
      <c r="G64" s="60">
        <v>24.63</v>
      </c>
      <c r="H64" s="60">
        <v>25.1</v>
      </c>
      <c r="I64" s="15"/>
    </row>
    <row r="65" spans="1:9" ht="15.75" customHeight="1">
      <c r="A65">
        <v>0</v>
      </c>
      <c r="B65" s="10">
        <v>13</v>
      </c>
      <c r="C65" s="49" t="s">
        <v>37</v>
      </c>
      <c r="D65" s="60">
        <v>16.07</v>
      </c>
      <c r="E65" s="60">
        <v>24.63</v>
      </c>
      <c r="F65" s="60">
        <v>29.15</v>
      </c>
      <c r="G65" s="60">
        <v>22.12</v>
      </c>
      <c r="H65" s="60">
        <v>30.15</v>
      </c>
      <c r="I65" s="15"/>
    </row>
    <row r="66" spans="1:9" ht="15.75" customHeight="1">
      <c r="A66">
        <v>0</v>
      </c>
      <c r="B66" s="10">
        <v>14</v>
      </c>
      <c r="C66" s="49" t="s">
        <v>87</v>
      </c>
      <c r="D66" s="60">
        <v>10.19</v>
      </c>
      <c r="E66" s="60">
        <v>18.53</v>
      </c>
      <c r="F66" s="60">
        <v>21.11</v>
      </c>
      <c r="G66" s="60">
        <v>23.26</v>
      </c>
      <c r="H66" s="60">
        <v>26.91</v>
      </c>
      <c r="I66" s="15"/>
    </row>
    <row r="67" spans="1:9" ht="15.75" customHeight="1">
      <c r="A67">
        <v>0</v>
      </c>
      <c r="B67" s="10">
        <v>17</v>
      </c>
      <c r="C67" s="49" t="s">
        <v>43</v>
      </c>
      <c r="D67" s="60">
        <v>11.9</v>
      </c>
      <c r="E67" s="60">
        <v>17.350000000000001</v>
      </c>
      <c r="F67" s="60">
        <v>26.12</v>
      </c>
      <c r="G67" s="60">
        <v>22.82</v>
      </c>
      <c r="H67" s="60">
        <v>21.81</v>
      </c>
      <c r="I67" s="15"/>
    </row>
    <row r="68" spans="1:9" ht="15.75" customHeight="1">
      <c r="A68">
        <v>0</v>
      </c>
      <c r="B68" s="10">
        <v>20</v>
      </c>
      <c r="C68" s="49" t="s">
        <v>47</v>
      </c>
      <c r="D68" s="60">
        <v>15.56</v>
      </c>
      <c r="E68" s="60">
        <v>19.88</v>
      </c>
      <c r="F68" s="60">
        <v>29.38</v>
      </c>
      <c r="G68" s="60">
        <v>28.71</v>
      </c>
      <c r="H68" s="60">
        <v>24.36</v>
      </c>
      <c r="I68" s="15"/>
    </row>
    <row r="69" spans="1:9" ht="15.75" customHeight="1">
      <c r="A69">
        <v>0</v>
      </c>
      <c r="B69" s="10">
        <v>21</v>
      </c>
      <c r="C69" s="49" t="s">
        <v>49</v>
      </c>
      <c r="D69" s="60">
        <v>14.74</v>
      </c>
      <c r="E69" s="60">
        <v>16.96</v>
      </c>
      <c r="F69" s="60">
        <v>21.82</v>
      </c>
      <c r="G69" s="60">
        <v>25.22</v>
      </c>
      <c r="H69" s="60">
        <v>21.26</v>
      </c>
      <c r="I69" s="15"/>
    </row>
    <row r="70" spans="1:9" ht="15.75" customHeight="1">
      <c r="A70">
        <v>0</v>
      </c>
      <c r="B70" s="10">
        <v>23</v>
      </c>
      <c r="C70" s="49" t="s">
        <v>53</v>
      </c>
      <c r="D70" s="60">
        <v>8.67</v>
      </c>
      <c r="E70" s="60">
        <v>13.46</v>
      </c>
      <c r="F70" s="60">
        <v>19.59</v>
      </c>
      <c r="G70" s="60">
        <v>33.53</v>
      </c>
      <c r="H70" s="60">
        <v>24.76</v>
      </c>
      <c r="I70" s="15"/>
    </row>
    <row r="71" spans="1:9" ht="15.75" customHeight="1">
      <c r="A71">
        <v>0</v>
      </c>
      <c r="B71" s="10">
        <v>24</v>
      </c>
      <c r="C71" s="49" t="s">
        <v>55</v>
      </c>
      <c r="D71" s="60">
        <v>8.6199999999999992</v>
      </c>
      <c r="E71" s="60">
        <v>28.99</v>
      </c>
      <c r="F71" s="60">
        <v>22.38</v>
      </c>
      <c r="G71" s="60">
        <v>21.2</v>
      </c>
      <c r="H71" s="60">
        <v>35.21</v>
      </c>
      <c r="I71" s="15"/>
    </row>
    <row r="72" spans="1:9" ht="15.75" customHeight="1">
      <c r="A72">
        <v>0</v>
      </c>
      <c r="B72" s="10">
        <v>26</v>
      </c>
      <c r="C72" s="49" t="s">
        <v>59</v>
      </c>
      <c r="D72" s="60">
        <v>11.65</v>
      </c>
      <c r="E72" s="60">
        <v>18.14</v>
      </c>
      <c r="F72" s="60">
        <v>26.3</v>
      </c>
      <c r="G72" s="60">
        <v>22.31</v>
      </c>
      <c r="H72" s="60">
        <v>21.6</v>
      </c>
      <c r="I72" s="15"/>
    </row>
    <row r="73" spans="1:9" ht="15.75" customHeight="1">
      <c r="A73">
        <v>0</v>
      </c>
      <c r="B73" s="10">
        <v>28</v>
      </c>
      <c r="C73" s="49" t="s">
        <v>63</v>
      </c>
      <c r="D73" s="60">
        <v>9.86</v>
      </c>
      <c r="E73" s="60">
        <v>16.149999999999999</v>
      </c>
      <c r="F73" s="60">
        <v>28.62</v>
      </c>
      <c r="G73" s="60">
        <v>25.78</v>
      </c>
      <c r="H73" s="60">
        <v>19.59</v>
      </c>
      <c r="I73" s="15"/>
    </row>
    <row r="74" spans="1:9" ht="15.75" customHeight="1">
      <c r="A74">
        <v>0</v>
      </c>
      <c r="B74" s="10">
        <v>31</v>
      </c>
      <c r="C74" s="49" t="s">
        <v>69</v>
      </c>
      <c r="D74" s="60">
        <v>12.14</v>
      </c>
      <c r="E74" s="60">
        <v>16.93</v>
      </c>
      <c r="F74" s="60">
        <v>23.38</v>
      </c>
      <c r="G74" s="60">
        <v>27.55</v>
      </c>
      <c r="H74" s="60">
        <v>19.100000000000001</v>
      </c>
      <c r="I74" s="15"/>
    </row>
    <row r="75" spans="1:9" ht="15.75" customHeight="1">
      <c r="A75">
        <v>0</v>
      </c>
      <c r="B75" s="10">
        <v>32</v>
      </c>
      <c r="C75" s="49" t="s">
        <v>71</v>
      </c>
      <c r="D75" s="60">
        <v>11.38</v>
      </c>
      <c r="E75" s="60">
        <v>15.27</v>
      </c>
      <c r="F75" s="60">
        <v>23.91</v>
      </c>
      <c r="G75" s="60">
        <v>19.649999999999999</v>
      </c>
      <c r="H75" s="60">
        <v>29.79</v>
      </c>
      <c r="I75" s="15"/>
    </row>
    <row r="76" spans="1:9" ht="15.75" customHeight="1">
      <c r="A76">
        <v>0</v>
      </c>
      <c r="B76" s="10">
        <v>33</v>
      </c>
      <c r="C76" s="49" t="s">
        <v>88</v>
      </c>
      <c r="D76" s="60">
        <v>14.18</v>
      </c>
      <c r="E76" s="60">
        <v>13.6</v>
      </c>
      <c r="F76" s="60">
        <v>23.47</v>
      </c>
      <c r="G76" s="60">
        <v>23.4</v>
      </c>
      <c r="H76" s="60">
        <v>25.36</v>
      </c>
      <c r="I76" s="15"/>
    </row>
    <row r="77" spans="1:9" ht="15.75" customHeight="1">
      <c r="A77">
        <v>0</v>
      </c>
      <c r="B77" s="10">
        <v>34</v>
      </c>
      <c r="C77" s="49" t="s">
        <v>75</v>
      </c>
      <c r="D77" s="57"/>
      <c r="E77" s="57"/>
      <c r="F77" s="57"/>
      <c r="G77" s="57"/>
      <c r="H77" s="57"/>
      <c r="I77" s="15"/>
    </row>
    <row r="78" spans="1:9" ht="15.75" customHeight="1">
      <c r="A78">
        <v>0</v>
      </c>
      <c r="B78" s="10">
        <v>35</v>
      </c>
      <c r="C78" s="49" t="s">
        <v>77</v>
      </c>
      <c r="D78" s="57"/>
      <c r="E78" s="57"/>
      <c r="F78" s="57"/>
      <c r="G78" s="57"/>
      <c r="H78" s="57"/>
    </row>
    <row r="79" spans="1:9" ht="15.75" customHeight="1">
      <c r="A79">
        <v>0</v>
      </c>
      <c r="B79" s="10">
        <v>36</v>
      </c>
      <c r="C79" s="49" t="s">
        <v>89</v>
      </c>
      <c r="D79" s="57"/>
      <c r="E79" s="57"/>
      <c r="F79" s="57"/>
      <c r="G79" s="57"/>
      <c r="H79" s="57"/>
    </row>
    <row r="80" spans="1:9" ht="15.75" customHeight="1"/>
    <row r="81" spans="2:21" ht="15.75" customHeight="1">
      <c r="P81" s="27"/>
      <c r="Q81" s="25"/>
      <c r="R81" s="25"/>
    </row>
    <row r="82" spans="2:21" ht="15.75" customHeight="1">
      <c r="P82" s="39"/>
      <c r="Q82" s="25"/>
      <c r="R82" s="25"/>
    </row>
    <row r="83" spans="2:21" ht="15.75" customHeight="1">
      <c r="P83" s="1"/>
      <c r="Q83" s="25"/>
      <c r="R83" s="25"/>
    </row>
    <row r="84" spans="2:21" ht="15.75" customHeight="1">
      <c r="P84" s="27"/>
      <c r="Q84" s="25"/>
      <c r="R84" s="25"/>
    </row>
    <row r="85" spans="2:21" ht="15.75" customHeight="1"/>
    <row r="86" spans="2:21" ht="15.75" customHeight="1">
      <c r="Q86" s="27"/>
      <c r="R86" s="35"/>
      <c r="S86" s="36"/>
      <c r="T86" s="30"/>
      <c r="U86" s="27"/>
    </row>
    <row r="87" spans="2:21" ht="15.75" customHeight="1">
      <c r="P87" s="1"/>
      <c r="Q87" s="31"/>
      <c r="R87" s="25"/>
      <c r="S87" s="25"/>
      <c r="T87" s="25"/>
      <c r="U87" s="25"/>
    </row>
    <row r="88" spans="2:21" ht="15.75" customHeight="1">
      <c r="P88" s="1"/>
      <c r="Q88" s="25"/>
      <c r="R88" s="25"/>
      <c r="S88" s="25"/>
      <c r="T88" s="25"/>
      <c r="U88" s="25"/>
    </row>
    <row r="89" spans="2:21" ht="15.75" customHeight="1"/>
    <row r="90" spans="2:21" ht="15.75" customHeight="1">
      <c r="C90" s="1"/>
    </row>
    <row r="91" spans="2:21" ht="15.75" customHeight="1">
      <c r="B91" s="1"/>
      <c r="C91" s="19"/>
    </row>
    <row r="92" spans="2:21" ht="15.75" customHeight="1">
      <c r="B92" s="1"/>
      <c r="C92" s="19"/>
    </row>
    <row r="93" spans="2:21" ht="15.75" customHeight="1"/>
    <row r="94" spans="2:21" ht="15.75" customHeight="1"/>
    <row r="95" spans="2:21" ht="15.75" customHeight="1"/>
    <row r="96" spans="2:2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2"/>
  <sheetViews>
    <sheetView workbookViewId="0">
      <selection activeCell="L17" sqref="L17"/>
    </sheetView>
  </sheetViews>
  <sheetFormatPr defaultColWidth="14.42578125" defaultRowHeight="15" customHeight="1"/>
  <cols>
    <col min="1" max="2" width="18.42578125" style="77" customWidth="1"/>
    <col min="3" max="4" width="9.5703125" style="77" customWidth="1"/>
    <col min="5" max="5" width="8.85546875" style="77" customWidth="1"/>
    <col min="6" max="6" width="9.85546875" style="77" customWidth="1"/>
    <col min="7" max="7" width="8.85546875" style="77" customWidth="1"/>
    <col min="9" max="10" width="8.7109375" customWidth="1"/>
    <col min="11" max="11" width="13.42578125" customWidth="1"/>
    <col min="12" max="15" width="8.7109375" customWidth="1"/>
    <col min="16" max="16" width="25.28515625" style="77" customWidth="1"/>
    <col min="17" max="25" width="8.7109375" customWidth="1"/>
  </cols>
  <sheetData>
    <row r="1" spans="1:16">
      <c r="A1" s="74" t="s">
        <v>3</v>
      </c>
      <c r="B1" s="74" t="s">
        <v>119</v>
      </c>
      <c r="C1" s="74" t="s">
        <v>106</v>
      </c>
      <c r="D1" s="74" t="s">
        <v>101</v>
      </c>
      <c r="E1" s="74" t="s">
        <v>107</v>
      </c>
      <c r="F1" s="74" t="s">
        <v>105</v>
      </c>
      <c r="G1" s="74" t="s">
        <v>104</v>
      </c>
      <c r="I1" s="50"/>
      <c r="J1" s="70"/>
      <c r="K1" s="51"/>
      <c r="L1" s="71"/>
      <c r="M1" s="71"/>
      <c r="N1" s="71"/>
      <c r="O1" s="71"/>
      <c r="P1" s="74" t="s">
        <v>118</v>
      </c>
    </row>
    <row r="2" spans="1:16">
      <c r="A2" s="74" t="s">
        <v>9</v>
      </c>
      <c r="B2" s="75" t="s">
        <v>8</v>
      </c>
      <c r="C2" s="76">
        <v>18</v>
      </c>
      <c r="D2" s="74">
        <v>22</v>
      </c>
      <c r="E2" s="74">
        <v>40</v>
      </c>
      <c r="F2" s="74">
        <v>9</v>
      </c>
      <c r="G2" s="74">
        <v>9</v>
      </c>
      <c r="I2" s="50"/>
      <c r="J2" s="70"/>
      <c r="K2" s="51"/>
      <c r="L2" s="71"/>
      <c r="M2" s="71"/>
      <c r="N2" s="71"/>
      <c r="O2" s="71"/>
      <c r="P2" s="77">
        <v>0</v>
      </c>
    </row>
    <row r="3" spans="1:16">
      <c r="A3" s="74" t="s">
        <v>13</v>
      </c>
      <c r="B3" s="75" t="s">
        <v>8</v>
      </c>
      <c r="C3" s="76">
        <v>13</v>
      </c>
      <c r="D3" s="74">
        <v>28</v>
      </c>
      <c r="E3" s="74">
        <v>35</v>
      </c>
      <c r="F3" s="74">
        <v>11</v>
      </c>
      <c r="G3" s="74">
        <v>10</v>
      </c>
      <c r="I3" s="50"/>
      <c r="J3" s="70"/>
      <c r="K3" s="51"/>
      <c r="L3" s="71"/>
      <c r="M3" s="71"/>
      <c r="N3" s="71"/>
      <c r="O3" s="71"/>
      <c r="P3" s="77">
        <v>0</v>
      </c>
    </row>
    <row r="4" spans="1:16">
      <c r="A4" s="74" t="s">
        <v>15</v>
      </c>
      <c r="B4" s="75" t="s">
        <v>8</v>
      </c>
      <c r="C4" s="76">
        <v>11</v>
      </c>
      <c r="D4" s="74">
        <v>22</v>
      </c>
      <c r="E4" s="74">
        <v>41</v>
      </c>
      <c r="F4" s="74">
        <v>15</v>
      </c>
      <c r="G4" s="74">
        <v>9</v>
      </c>
      <c r="I4" s="50"/>
      <c r="J4" s="70"/>
      <c r="K4" s="51"/>
      <c r="L4" s="71"/>
      <c r="M4" s="71"/>
      <c r="N4" s="71"/>
      <c r="O4" s="71"/>
      <c r="P4" s="77">
        <v>0</v>
      </c>
    </row>
    <row r="5" spans="1:16">
      <c r="A5" s="74" t="s">
        <v>17</v>
      </c>
      <c r="B5" s="75" t="s">
        <v>8</v>
      </c>
      <c r="C5" s="76">
        <v>16</v>
      </c>
      <c r="D5" s="74">
        <v>17</v>
      </c>
      <c r="E5" s="74">
        <v>47</v>
      </c>
      <c r="F5" s="74">
        <v>8</v>
      </c>
      <c r="G5" s="74">
        <v>9</v>
      </c>
      <c r="I5" s="50"/>
      <c r="J5" s="70"/>
      <c r="K5" s="51"/>
      <c r="L5" s="71"/>
      <c r="M5" s="71"/>
      <c r="N5" s="71"/>
      <c r="O5" s="71"/>
      <c r="P5" s="77">
        <v>0</v>
      </c>
    </row>
    <row r="6" spans="1:16">
      <c r="A6" s="74" t="s">
        <v>19</v>
      </c>
      <c r="B6" s="75" t="s">
        <v>8</v>
      </c>
      <c r="C6" s="76">
        <v>17</v>
      </c>
      <c r="D6" s="74">
        <v>38</v>
      </c>
      <c r="E6" s="74">
        <v>11</v>
      </c>
      <c r="F6" s="74">
        <v>18</v>
      </c>
      <c r="G6" s="74">
        <v>14</v>
      </c>
      <c r="I6" s="50"/>
      <c r="J6" s="70"/>
      <c r="K6" s="51"/>
      <c r="L6" s="71"/>
      <c r="M6" s="71"/>
      <c r="N6" s="71"/>
      <c r="O6" s="71"/>
      <c r="P6" s="77">
        <v>0</v>
      </c>
    </row>
    <row r="7" spans="1:16">
      <c r="A7" s="74" t="s">
        <v>22</v>
      </c>
      <c r="B7" s="75" t="s">
        <v>8</v>
      </c>
      <c r="C7" s="76">
        <v>19</v>
      </c>
      <c r="D7" s="74">
        <v>25</v>
      </c>
      <c r="E7" s="74">
        <v>30</v>
      </c>
      <c r="F7" s="74">
        <v>12</v>
      </c>
      <c r="G7" s="74">
        <v>11</v>
      </c>
      <c r="I7" s="50"/>
      <c r="J7" s="70"/>
      <c r="K7" s="51"/>
      <c r="L7" s="71"/>
      <c r="M7" s="71"/>
      <c r="N7" s="71"/>
      <c r="O7" s="71"/>
      <c r="P7" s="77">
        <v>0</v>
      </c>
    </row>
    <row r="8" spans="1:16">
      <c r="A8" s="74" t="s">
        <v>26</v>
      </c>
      <c r="B8" s="75" t="s">
        <v>8</v>
      </c>
      <c r="C8" s="76">
        <v>15</v>
      </c>
      <c r="D8" s="74">
        <v>21</v>
      </c>
      <c r="E8" s="74">
        <v>34</v>
      </c>
      <c r="F8" s="74">
        <v>13</v>
      </c>
      <c r="G8" s="74">
        <v>15</v>
      </c>
      <c r="I8" s="50"/>
      <c r="J8" s="70"/>
      <c r="K8" s="51"/>
      <c r="L8" s="71"/>
      <c r="M8" s="71"/>
      <c r="N8" s="71"/>
      <c r="O8" s="71"/>
      <c r="P8" s="77">
        <v>0</v>
      </c>
    </row>
    <row r="9" spans="1:16">
      <c r="A9" s="74" t="s">
        <v>31</v>
      </c>
      <c r="B9" s="75" t="s">
        <v>8</v>
      </c>
      <c r="C9" s="76">
        <v>13</v>
      </c>
      <c r="D9" s="74">
        <v>24</v>
      </c>
      <c r="E9" s="74">
        <v>37</v>
      </c>
      <c r="F9" s="74">
        <v>15</v>
      </c>
      <c r="G9" s="74">
        <v>8</v>
      </c>
      <c r="I9" s="50"/>
      <c r="J9" s="70"/>
      <c r="K9" s="51"/>
      <c r="L9" s="71"/>
      <c r="M9" s="71"/>
      <c r="N9" s="71"/>
      <c r="O9" s="71"/>
      <c r="P9" s="77">
        <v>0</v>
      </c>
    </row>
    <row r="10" spans="1:16">
      <c r="A10" s="74" t="s">
        <v>33</v>
      </c>
      <c r="B10" s="75" t="s">
        <v>8</v>
      </c>
      <c r="C10" s="76">
        <v>16</v>
      </c>
      <c r="D10" s="74">
        <v>24</v>
      </c>
      <c r="E10" s="74">
        <v>37</v>
      </c>
      <c r="F10" s="74">
        <v>12</v>
      </c>
      <c r="G10" s="74">
        <v>8</v>
      </c>
      <c r="I10" s="50"/>
      <c r="J10" s="50"/>
      <c r="K10" s="50"/>
      <c r="L10" s="50"/>
      <c r="M10" s="50"/>
      <c r="N10" s="50"/>
      <c r="O10" s="50"/>
      <c r="P10" s="77">
        <v>0</v>
      </c>
    </row>
    <row r="11" spans="1:16">
      <c r="A11" s="74" t="s">
        <v>35</v>
      </c>
      <c r="B11" s="75" t="s">
        <v>8</v>
      </c>
      <c r="C11" s="76">
        <v>18</v>
      </c>
      <c r="D11" s="74">
        <v>24</v>
      </c>
      <c r="E11" s="74">
        <v>30</v>
      </c>
      <c r="F11" s="74">
        <v>17</v>
      </c>
      <c r="G11" s="74">
        <v>8</v>
      </c>
      <c r="I11" s="50"/>
      <c r="J11" s="50"/>
      <c r="K11" s="50"/>
      <c r="L11" s="50"/>
      <c r="M11" s="50"/>
      <c r="N11" s="50"/>
      <c r="O11" s="50"/>
      <c r="P11" s="77">
        <v>0</v>
      </c>
    </row>
    <row r="12" spans="1:16" ht="15.75">
      <c r="A12" s="74" t="s">
        <v>37</v>
      </c>
      <c r="B12" s="75" t="s">
        <v>8</v>
      </c>
      <c r="C12" s="76">
        <v>20</v>
      </c>
      <c r="D12" s="74">
        <v>19</v>
      </c>
      <c r="E12" s="74">
        <v>32</v>
      </c>
      <c r="F12" s="74">
        <v>16</v>
      </c>
      <c r="G12" s="74">
        <v>12</v>
      </c>
      <c r="I12" s="72"/>
      <c r="J12" s="72"/>
      <c r="K12" s="51"/>
      <c r="L12" s="73"/>
      <c r="M12" s="51"/>
      <c r="N12" s="51"/>
      <c r="O12" s="51"/>
      <c r="P12" s="77">
        <v>0</v>
      </c>
    </row>
    <row r="13" spans="1:16" ht="15.75">
      <c r="A13" s="74" t="s">
        <v>39</v>
      </c>
      <c r="B13" s="75" t="s">
        <v>8</v>
      </c>
      <c r="C13" s="76">
        <v>13</v>
      </c>
      <c r="D13" s="74">
        <v>24</v>
      </c>
      <c r="E13" s="74">
        <v>33</v>
      </c>
      <c r="F13" s="74">
        <v>14</v>
      </c>
      <c r="G13" s="74">
        <v>13</v>
      </c>
      <c r="I13" s="50"/>
      <c r="J13" s="72"/>
      <c r="K13" s="53"/>
      <c r="L13" s="71"/>
      <c r="M13" s="71"/>
      <c r="N13" s="71"/>
      <c r="O13" s="71"/>
      <c r="P13" s="77">
        <v>0</v>
      </c>
    </row>
    <row r="14" spans="1:16" ht="15.75">
      <c r="A14" s="74" t="s">
        <v>43</v>
      </c>
      <c r="B14" s="75" t="s">
        <v>8</v>
      </c>
      <c r="C14" s="76">
        <v>15</v>
      </c>
      <c r="D14" s="74">
        <v>20</v>
      </c>
      <c r="E14" s="74">
        <v>39</v>
      </c>
      <c r="F14" s="74">
        <v>13</v>
      </c>
      <c r="G14" s="74">
        <v>11</v>
      </c>
      <c r="I14" s="50"/>
      <c r="J14" s="72"/>
      <c r="K14" s="53"/>
      <c r="L14" s="71"/>
      <c r="M14" s="71"/>
      <c r="N14" s="71"/>
      <c r="O14" s="71"/>
      <c r="P14" s="77">
        <v>0</v>
      </c>
    </row>
    <row r="15" spans="1:16" ht="15.75">
      <c r="A15" s="74" t="s">
        <v>44</v>
      </c>
      <c r="B15" s="75" t="s">
        <v>8</v>
      </c>
      <c r="C15" s="76">
        <v>22</v>
      </c>
      <c r="D15" s="74">
        <v>21</v>
      </c>
      <c r="E15" s="74">
        <v>19</v>
      </c>
      <c r="F15" s="74">
        <v>14</v>
      </c>
      <c r="G15" s="74">
        <v>22</v>
      </c>
      <c r="I15" s="50"/>
      <c r="J15" s="72"/>
      <c r="K15" s="53"/>
      <c r="L15" s="71"/>
      <c r="M15" s="71"/>
      <c r="N15" s="71"/>
      <c r="O15" s="71"/>
      <c r="P15" s="77">
        <v>0</v>
      </c>
    </row>
    <row r="16" spans="1:16" ht="15.75">
      <c r="A16" s="74" t="s">
        <v>46</v>
      </c>
      <c r="B16" s="75" t="s">
        <v>8</v>
      </c>
      <c r="C16" s="76">
        <v>22</v>
      </c>
      <c r="D16" s="74">
        <v>19</v>
      </c>
      <c r="E16" s="74">
        <v>20</v>
      </c>
      <c r="F16" s="74">
        <v>19</v>
      </c>
      <c r="G16" s="74">
        <v>18</v>
      </c>
      <c r="I16" s="50"/>
      <c r="J16" s="72"/>
      <c r="K16" s="53"/>
      <c r="L16" s="71"/>
      <c r="M16" s="71"/>
      <c r="N16" s="71"/>
      <c r="O16" s="71"/>
      <c r="P16" s="77">
        <v>0</v>
      </c>
    </row>
    <row r="17" spans="1:16" ht="15.75">
      <c r="A17" s="74" t="s">
        <v>47</v>
      </c>
      <c r="B17" s="75" t="s">
        <v>8</v>
      </c>
      <c r="C17" s="76">
        <v>19</v>
      </c>
      <c r="D17" s="74">
        <v>24</v>
      </c>
      <c r="E17" s="74">
        <v>34</v>
      </c>
      <c r="F17" s="74">
        <v>7</v>
      </c>
      <c r="G17" s="74">
        <v>13</v>
      </c>
      <c r="I17" s="50"/>
      <c r="J17" s="72"/>
      <c r="K17" s="53"/>
      <c r="L17" s="71"/>
      <c r="M17" s="71"/>
      <c r="N17" s="71"/>
      <c r="O17" s="71"/>
      <c r="P17" s="77">
        <v>0</v>
      </c>
    </row>
    <row r="18" spans="1:16" ht="15.75">
      <c r="A18" s="74" t="s">
        <v>49</v>
      </c>
      <c r="B18" s="75" t="s">
        <v>8</v>
      </c>
      <c r="C18" s="76">
        <v>19</v>
      </c>
      <c r="D18" s="74">
        <v>21</v>
      </c>
      <c r="E18" s="74">
        <v>30</v>
      </c>
      <c r="F18" s="74">
        <v>16</v>
      </c>
      <c r="G18" s="74">
        <v>12</v>
      </c>
      <c r="I18" s="50"/>
      <c r="J18" s="72"/>
      <c r="K18" s="53"/>
      <c r="L18" s="71"/>
      <c r="M18" s="71"/>
      <c r="N18" s="71"/>
      <c r="O18" s="71"/>
      <c r="P18" s="77">
        <v>0</v>
      </c>
    </row>
    <row r="19" spans="1:16" ht="15.75">
      <c r="A19" s="74" t="s">
        <v>51</v>
      </c>
      <c r="B19" s="75" t="s">
        <v>8</v>
      </c>
      <c r="C19" s="76">
        <v>18</v>
      </c>
      <c r="D19" s="74">
        <v>21</v>
      </c>
      <c r="E19" s="74">
        <v>33</v>
      </c>
      <c r="F19" s="74">
        <v>15</v>
      </c>
      <c r="G19" s="74">
        <v>10</v>
      </c>
      <c r="I19" s="50"/>
      <c r="J19" s="72"/>
      <c r="K19" s="53"/>
      <c r="L19" s="71"/>
      <c r="M19" s="71"/>
      <c r="N19" s="71"/>
      <c r="O19" s="71"/>
      <c r="P19" s="77">
        <v>0</v>
      </c>
    </row>
    <row r="20" spans="1:16" ht="15.75" customHeight="1">
      <c r="A20" s="74" t="s">
        <v>53</v>
      </c>
      <c r="B20" s="75" t="s">
        <v>8</v>
      </c>
      <c r="C20" s="76">
        <v>25</v>
      </c>
      <c r="D20" s="74">
        <v>19</v>
      </c>
      <c r="E20" s="74">
        <v>35</v>
      </c>
      <c r="F20" s="74">
        <v>11</v>
      </c>
      <c r="G20" s="74">
        <v>7</v>
      </c>
      <c r="I20" s="50"/>
      <c r="J20" s="72"/>
      <c r="K20" s="53"/>
      <c r="L20" s="71"/>
      <c r="M20" s="71"/>
      <c r="N20" s="71"/>
      <c r="O20" s="71"/>
      <c r="P20" s="77">
        <v>0</v>
      </c>
    </row>
    <row r="21" spans="1:16" ht="15.75" customHeight="1">
      <c r="A21" s="74" t="s">
        <v>55</v>
      </c>
      <c r="B21" s="75" t="s">
        <v>8</v>
      </c>
      <c r="C21" s="76">
        <v>19</v>
      </c>
      <c r="D21" s="74">
        <v>23</v>
      </c>
      <c r="E21" s="74">
        <v>39</v>
      </c>
      <c r="F21" s="74">
        <v>10</v>
      </c>
      <c r="G21" s="74">
        <v>7</v>
      </c>
      <c r="I21" s="50"/>
      <c r="J21" s="72"/>
      <c r="K21" s="53"/>
      <c r="L21" s="71"/>
      <c r="M21" s="71"/>
      <c r="N21" s="71"/>
      <c r="O21" s="71"/>
      <c r="P21" s="77">
        <v>0</v>
      </c>
    </row>
    <row r="22" spans="1:16" ht="15.75" customHeight="1">
      <c r="A22" s="74" t="s">
        <v>57</v>
      </c>
      <c r="B22" s="75" t="s">
        <v>8</v>
      </c>
      <c r="C22" s="76">
        <v>15</v>
      </c>
      <c r="D22" s="74">
        <v>26</v>
      </c>
      <c r="E22" s="74">
        <v>36</v>
      </c>
      <c r="F22" s="74">
        <v>14</v>
      </c>
      <c r="G22" s="74">
        <v>6</v>
      </c>
      <c r="I22" s="50"/>
      <c r="J22" s="72"/>
      <c r="K22" s="53"/>
      <c r="L22" s="71"/>
      <c r="M22" s="71"/>
      <c r="N22" s="71"/>
      <c r="O22" s="71"/>
      <c r="P22" s="77">
        <v>0</v>
      </c>
    </row>
    <row r="23" spans="1:16" ht="15.75" customHeight="1">
      <c r="A23" s="74" t="s">
        <v>59</v>
      </c>
      <c r="B23" s="75" t="s">
        <v>8</v>
      </c>
      <c r="C23" s="76">
        <v>14</v>
      </c>
      <c r="D23" s="74">
        <v>27</v>
      </c>
      <c r="E23" s="74">
        <v>34</v>
      </c>
      <c r="F23" s="74">
        <v>15</v>
      </c>
      <c r="G23" s="74">
        <v>7</v>
      </c>
      <c r="I23" s="50"/>
      <c r="J23" s="72"/>
      <c r="K23" s="53"/>
      <c r="L23" s="71"/>
      <c r="M23" s="71"/>
      <c r="N23" s="71"/>
      <c r="O23" s="71"/>
      <c r="P23" s="77">
        <v>0</v>
      </c>
    </row>
    <row r="24" spans="1:16" ht="15.75" customHeight="1">
      <c r="A24" s="74" t="s">
        <v>61</v>
      </c>
      <c r="B24" s="75" t="s">
        <v>8</v>
      </c>
      <c r="C24" s="76">
        <v>19</v>
      </c>
      <c r="D24" s="74">
        <v>24</v>
      </c>
      <c r="E24" s="74">
        <v>29</v>
      </c>
      <c r="F24" s="74">
        <v>11</v>
      </c>
      <c r="G24" s="74">
        <v>14</v>
      </c>
      <c r="I24" s="50"/>
      <c r="J24" s="72"/>
      <c r="K24" s="53"/>
      <c r="L24" s="71"/>
      <c r="M24" s="71"/>
      <c r="N24" s="71"/>
      <c r="O24" s="71"/>
      <c r="P24" s="77">
        <v>0</v>
      </c>
    </row>
    <row r="25" spans="1:16" ht="15.75" customHeight="1">
      <c r="A25" s="74" t="s">
        <v>63</v>
      </c>
      <c r="B25" s="75" t="s">
        <v>8</v>
      </c>
      <c r="C25" s="76">
        <v>31</v>
      </c>
      <c r="D25" s="74">
        <v>17</v>
      </c>
      <c r="E25" s="74">
        <v>21</v>
      </c>
      <c r="F25" s="74">
        <v>14</v>
      </c>
      <c r="G25" s="74">
        <v>14</v>
      </c>
      <c r="K25" s="1"/>
      <c r="L25" s="40"/>
      <c r="M25" s="1"/>
      <c r="N25" s="1"/>
      <c r="O25" s="1"/>
      <c r="P25" s="77">
        <v>0</v>
      </c>
    </row>
    <row r="26" spans="1:16" ht="15.75" customHeight="1">
      <c r="A26" s="74" t="s">
        <v>65</v>
      </c>
      <c r="B26" s="75" t="s">
        <v>8</v>
      </c>
      <c r="C26" s="76">
        <v>16</v>
      </c>
      <c r="D26" s="74">
        <v>21</v>
      </c>
      <c r="E26" s="74">
        <v>26</v>
      </c>
      <c r="F26" s="74">
        <v>18</v>
      </c>
      <c r="G26" s="74">
        <v>17</v>
      </c>
      <c r="K26" s="1"/>
      <c r="L26" s="40"/>
      <c r="M26" s="1"/>
      <c r="N26" s="1"/>
      <c r="O26" s="1"/>
      <c r="P26" s="77">
        <v>0</v>
      </c>
    </row>
    <row r="27" spans="1:16" ht="15.75" customHeight="1">
      <c r="A27" s="74" t="s">
        <v>67</v>
      </c>
      <c r="B27" s="75" t="s">
        <v>8</v>
      </c>
      <c r="C27" s="76">
        <v>15</v>
      </c>
      <c r="D27" s="74">
        <v>27</v>
      </c>
      <c r="E27" s="74">
        <v>36</v>
      </c>
      <c r="F27" s="74">
        <v>11</v>
      </c>
      <c r="G27" s="74">
        <v>10</v>
      </c>
      <c r="K27" s="1"/>
      <c r="L27" s="40"/>
      <c r="M27" s="1"/>
      <c r="N27" s="1"/>
      <c r="O27" s="1"/>
      <c r="P27" s="77">
        <v>0</v>
      </c>
    </row>
    <row r="28" spans="1:16" ht="15.75" customHeight="1">
      <c r="A28" s="74" t="s">
        <v>69</v>
      </c>
      <c r="B28" s="75" t="s">
        <v>8</v>
      </c>
      <c r="C28" s="76">
        <v>15</v>
      </c>
      <c r="D28" s="74">
        <v>37</v>
      </c>
      <c r="E28" s="74">
        <v>23</v>
      </c>
      <c r="F28" s="74">
        <v>11</v>
      </c>
      <c r="G28" s="74">
        <v>12</v>
      </c>
      <c r="K28" s="1"/>
      <c r="L28" s="40"/>
      <c r="M28" s="1"/>
      <c r="N28" s="1"/>
      <c r="O28" s="1"/>
      <c r="P28" s="77">
        <v>0</v>
      </c>
    </row>
    <row r="29" spans="1:16" ht="15.75" customHeight="1">
      <c r="A29" s="74" t="s">
        <v>71</v>
      </c>
      <c r="B29" s="75" t="s">
        <v>8</v>
      </c>
      <c r="C29" s="76">
        <v>22</v>
      </c>
      <c r="D29" s="74">
        <v>27</v>
      </c>
      <c r="E29" s="74">
        <v>24</v>
      </c>
      <c r="F29" s="74">
        <v>10</v>
      </c>
      <c r="G29" s="74">
        <v>13</v>
      </c>
      <c r="K29" s="1"/>
      <c r="L29" s="40"/>
      <c r="M29" s="1"/>
      <c r="N29" s="1"/>
      <c r="O29" s="1"/>
      <c r="P29" s="77">
        <v>0</v>
      </c>
    </row>
    <row r="30" spans="1:16" ht="15.75" customHeight="1">
      <c r="A30" s="74" t="s">
        <v>73</v>
      </c>
      <c r="B30" s="75" t="s">
        <v>8</v>
      </c>
      <c r="C30" s="76">
        <v>17</v>
      </c>
      <c r="D30" s="74">
        <v>24</v>
      </c>
      <c r="E30" s="74">
        <v>31</v>
      </c>
      <c r="F30" s="74">
        <v>15</v>
      </c>
      <c r="G30" s="74">
        <v>10</v>
      </c>
      <c r="K30" s="1"/>
      <c r="L30" s="40"/>
      <c r="M30" s="1"/>
      <c r="N30" s="1"/>
      <c r="O30" s="1"/>
      <c r="P30" s="77">
        <v>0</v>
      </c>
    </row>
    <row r="31" spans="1:16" ht="15.75" customHeight="1">
      <c r="A31" s="74" t="s">
        <v>75</v>
      </c>
      <c r="B31" s="75" t="s">
        <v>8</v>
      </c>
      <c r="C31" s="76">
        <v>14</v>
      </c>
      <c r="D31" s="74">
        <v>16</v>
      </c>
      <c r="E31" s="74">
        <v>27</v>
      </c>
      <c r="F31" s="74">
        <v>15</v>
      </c>
      <c r="G31" s="74">
        <v>24</v>
      </c>
      <c r="K31" s="1"/>
      <c r="L31" s="40"/>
      <c r="M31" s="1"/>
      <c r="N31" s="1"/>
      <c r="O31" s="1"/>
      <c r="P31" s="77">
        <v>0</v>
      </c>
    </row>
    <row r="32" spans="1:16" ht="15.75" customHeight="1">
      <c r="A32" s="74" t="s">
        <v>77</v>
      </c>
      <c r="B32" s="75" t="s">
        <v>8</v>
      </c>
      <c r="C32" s="76">
        <v>16</v>
      </c>
      <c r="D32" s="74">
        <v>15</v>
      </c>
      <c r="E32" s="74">
        <v>20</v>
      </c>
      <c r="F32" s="74">
        <v>12</v>
      </c>
      <c r="G32" s="74">
        <v>34</v>
      </c>
      <c r="K32" s="1"/>
      <c r="L32" s="40"/>
      <c r="M32" s="1"/>
      <c r="N32" s="1"/>
      <c r="O32" s="1"/>
      <c r="P32" s="77">
        <v>0</v>
      </c>
    </row>
    <row r="33" spans="1:16" ht="15.75" customHeight="1">
      <c r="A33" s="74" t="s">
        <v>44</v>
      </c>
      <c r="B33" s="78" t="s">
        <v>78</v>
      </c>
      <c r="C33" s="79">
        <v>22</v>
      </c>
      <c r="D33" s="79">
        <v>21</v>
      </c>
      <c r="E33" s="79">
        <v>19</v>
      </c>
      <c r="F33" s="79">
        <v>14</v>
      </c>
      <c r="G33" s="79">
        <v>22</v>
      </c>
      <c r="P33" s="77">
        <v>0</v>
      </c>
    </row>
    <row r="34" spans="1:16" ht="15.75" customHeight="1">
      <c r="A34" s="74" t="s">
        <v>46</v>
      </c>
      <c r="B34" s="78" t="s">
        <v>78</v>
      </c>
      <c r="C34" s="79">
        <v>22</v>
      </c>
      <c r="D34" s="79">
        <v>19</v>
      </c>
      <c r="E34" s="79">
        <v>20</v>
      </c>
      <c r="F34" s="79">
        <v>19</v>
      </c>
      <c r="G34" s="79">
        <v>18</v>
      </c>
      <c r="P34" s="77">
        <v>0</v>
      </c>
    </row>
    <row r="35" spans="1:16" ht="15.75" customHeight="1">
      <c r="A35" s="74" t="s">
        <v>51</v>
      </c>
      <c r="B35" s="78" t="s">
        <v>78</v>
      </c>
      <c r="C35" s="79">
        <v>18</v>
      </c>
      <c r="D35" s="79">
        <v>21</v>
      </c>
      <c r="E35" s="79">
        <v>33</v>
      </c>
      <c r="F35" s="79">
        <v>15</v>
      </c>
      <c r="G35" s="79">
        <v>10</v>
      </c>
      <c r="P35" s="77">
        <v>0</v>
      </c>
    </row>
    <row r="36" spans="1:16" ht="15.75" customHeight="1">
      <c r="A36" s="74" t="s">
        <v>57</v>
      </c>
      <c r="B36" s="78" t="s">
        <v>78</v>
      </c>
      <c r="C36" s="79">
        <v>15</v>
      </c>
      <c r="D36" s="79">
        <v>26</v>
      </c>
      <c r="E36" s="79">
        <v>36</v>
      </c>
      <c r="F36" s="79">
        <v>14</v>
      </c>
      <c r="G36" s="79">
        <v>6</v>
      </c>
      <c r="P36" s="77">
        <v>0</v>
      </c>
    </row>
    <row r="37" spans="1:16" ht="15.75" customHeight="1">
      <c r="A37" s="74" t="s">
        <v>61</v>
      </c>
      <c r="B37" s="78" t="s">
        <v>78</v>
      </c>
      <c r="C37" s="79">
        <v>19</v>
      </c>
      <c r="D37" s="79">
        <v>24</v>
      </c>
      <c r="E37" s="79">
        <v>29</v>
      </c>
      <c r="F37" s="79">
        <v>11</v>
      </c>
      <c r="G37" s="79">
        <v>14</v>
      </c>
      <c r="P37" s="77">
        <v>0</v>
      </c>
    </row>
    <row r="38" spans="1:16" ht="15.75" customHeight="1">
      <c r="A38" s="74" t="s">
        <v>65</v>
      </c>
      <c r="B38" s="78" t="s">
        <v>78</v>
      </c>
      <c r="C38" s="79">
        <v>16</v>
      </c>
      <c r="D38" s="79">
        <v>21</v>
      </c>
      <c r="E38" s="79">
        <v>26</v>
      </c>
      <c r="F38" s="79">
        <v>18</v>
      </c>
      <c r="G38" s="79">
        <v>17</v>
      </c>
      <c r="P38" s="77">
        <v>0</v>
      </c>
    </row>
    <row r="39" spans="1:16" ht="15.75" customHeight="1">
      <c r="A39" s="74" t="s">
        <v>67</v>
      </c>
      <c r="B39" s="78" t="s">
        <v>78</v>
      </c>
      <c r="C39" s="79">
        <v>15</v>
      </c>
      <c r="D39" s="79">
        <v>27</v>
      </c>
      <c r="E39" s="79">
        <v>36</v>
      </c>
      <c r="F39" s="79">
        <v>11</v>
      </c>
      <c r="G39" s="79">
        <v>10</v>
      </c>
      <c r="P39" s="77">
        <v>0</v>
      </c>
    </row>
    <row r="40" spans="1:16" ht="15.75" customHeight="1">
      <c r="A40" s="74" t="s">
        <v>13</v>
      </c>
      <c r="B40" s="78" t="s">
        <v>84</v>
      </c>
      <c r="C40" s="75">
        <v>13</v>
      </c>
      <c r="D40" s="74">
        <v>28</v>
      </c>
      <c r="E40" s="74">
        <v>35</v>
      </c>
      <c r="F40" s="74">
        <v>11</v>
      </c>
      <c r="G40" s="74">
        <v>10</v>
      </c>
      <c r="P40" s="77">
        <v>0</v>
      </c>
    </row>
    <row r="41" spans="1:16" ht="15.75" customHeight="1">
      <c r="A41" s="74" t="s">
        <v>15</v>
      </c>
      <c r="B41" s="78" t="s">
        <v>84</v>
      </c>
      <c r="C41" s="74">
        <v>11</v>
      </c>
      <c r="D41" s="74">
        <v>22</v>
      </c>
      <c r="E41" s="74">
        <v>41</v>
      </c>
      <c r="F41" s="74">
        <v>15</v>
      </c>
      <c r="G41" s="74">
        <v>9</v>
      </c>
      <c r="P41" s="77">
        <v>0</v>
      </c>
    </row>
    <row r="42" spans="1:16" ht="15.75" customHeight="1">
      <c r="A42" s="74" t="s">
        <v>17</v>
      </c>
      <c r="B42" s="78" t="s">
        <v>84</v>
      </c>
      <c r="C42" s="74">
        <v>16</v>
      </c>
      <c r="D42" s="74">
        <v>17</v>
      </c>
      <c r="E42" s="74">
        <v>47</v>
      </c>
      <c r="F42" s="74">
        <v>8</v>
      </c>
      <c r="G42" s="74">
        <v>9</v>
      </c>
      <c r="P42" s="77">
        <v>0</v>
      </c>
    </row>
    <row r="43" spans="1:16" ht="15.75" customHeight="1">
      <c r="A43" s="74" t="s">
        <v>19</v>
      </c>
      <c r="B43" s="78" t="s">
        <v>84</v>
      </c>
      <c r="C43" s="74">
        <v>17</v>
      </c>
      <c r="D43" s="74">
        <v>38</v>
      </c>
      <c r="E43" s="74">
        <v>11</v>
      </c>
      <c r="F43" s="74">
        <v>18</v>
      </c>
      <c r="G43" s="74">
        <v>14</v>
      </c>
      <c r="P43" s="77">
        <v>0</v>
      </c>
    </row>
    <row r="44" spans="1:16" ht="15.75" customHeight="1">
      <c r="A44" s="74" t="s">
        <v>22</v>
      </c>
      <c r="B44" s="78" t="s">
        <v>84</v>
      </c>
      <c r="C44" s="74">
        <v>19</v>
      </c>
      <c r="D44" s="74">
        <v>25</v>
      </c>
      <c r="E44" s="74">
        <v>30</v>
      </c>
      <c r="F44" s="74">
        <v>12</v>
      </c>
      <c r="G44" s="74">
        <v>11</v>
      </c>
      <c r="P44" s="77">
        <v>0</v>
      </c>
    </row>
    <row r="45" spans="1:16" ht="15.75" customHeight="1">
      <c r="A45" s="74" t="s">
        <v>26</v>
      </c>
      <c r="B45" s="78" t="s">
        <v>84</v>
      </c>
      <c r="C45" s="74">
        <v>15</v>
      </c>
      <c r="D45" s="74">
        <v>21</v>
      </c>
      <c r="E45" s="74">
        <v>34</v>
      </c>
      <c r="F45" s="74">
        <v>13</v>
      </c>
      <c r="G45" s="74">
        <v>15</v>
      </c>
      <c r="P45" s="77">
        <v>0</v>
      </c>
    </row>
    <row r="46" spans="1:16" ht="15.75" customHeight="1">
      <c r="A46" s="74" t="s">
        <v>86</v>
      </c>
      <c r="B46" s="78" t="s">
        <v>84</v>
      </c>
      <c r="C46" s="74">
        <v>19</v>
      </c>
      <c r="D46" s="74">
        <v>23</v>
      </c>
      <c r="E46" s="74">
        <v>17</v>
      </c>
      <c r="F46" s="74">
        <v>15</v>
      </c>
      <c r="G46" s="74">
        <v>23</v>
      </c>
      <c r="P46" s="77">
        <v>0</v>
      </c>
    </row>
    <row r="47" spans="1:16" ht="15.75" customHeight="1">
      <c r="A47" s="74" t="s">
        <v>31</v>
      </c>
      <c r="B47" s="78" t="s">
        <v>84</v>
      </c>
      <c r="C47" s="74">
        <v>13</v>
      </c>
      <c r="D47" s="74">
        <v>24</v>
      </c>
      <c r="E47" s="74">
        <v>37</v>
      </c>
      <c r="F47" s="74">
        <v>15</v>
      </c>
      <c r="G47" s="74">
        <v>8</v>
      </c>
      <c r="P47" s="77">
        <v>0</v>
      </c>
    </row>
    <row r="48" spans="1:16" ht="15.75" customHeight="1">
      <c r="A48" s="74" t="s">
        <v>111</v>
      </c>
      <c r="B48" s="78" t="s">
        <v>84</v>
      </c>
      <c r="C48" s="74">
        <v>16</v>
      </c>
      <c r="D48" s="74">
        <v>24</v>
      </c>
      <c r="E48" s="74">
        <v>37</v>
      </c>
      <c r="F48" s="74">
        <v>12</v>
      </c>
      <c r="G48" s="74">
        <v>8</v>
      </c>
      <c r="P48" s="77">
        <v>0</v>
      </c>
    </row>
    <row r="49" spans="1:16" ht="15.75" customHeight="1">
      <c r="A49" s="74" t="s">
        <v>35</v>
      </c>
      <c r="B49" s="78" t="s">
        <v>84</v>
      </c>
      <c r="C49" s="74">
        <v>18</v>
      </c>
      <c r="D49" s="74">
        <v>24</v>
      </c>
      <c r="E49" s="74">
        <v>30</v>
      </c>
      <c r="F49" s="74">
        <v>17</v>
      </c>
      <c r="G49" s="74">
        <v>8</v>
      </c>
      <c r="P49" s="77">
        <v>0</v>
      </c>
    </row>
    <row r="50" spans="1:16" ht="15.75" customHeight="1">
      <c r="A50" s="74" t="s">
        <v>37</v>
      </c>
      <c r="B50" s="78" t="s">
        <v>84</v>
      </c>
      <c r="C50" s="74">
        <v>20</v>
      </c>
      <c r="D50" s="74">
        <v>19</v>
      </c>
      <c r="E50" s="74">
        <v>32</v>
      </c>
      <c r="F50" s="74">
        <v>16</v>
      </c>
      <c r="G50" s="74">
        <v>12</v>
      </c>
      <c r="P50" s="77">
        <v>0</v>
      </c>
    </row>
    <row r="51" spans="1:16" ht="15.75" customHeight="1">
      <c r="A51" s="74" t="s">
        <v>87</v>
      </c>
      <c r="B51" s="78" t="s">
        <v>84</v>
      </c>
      <c r="C51" s="74">
        <v>13</v>
      </c>
      <c r="D51" s="74">
        <v>24</v>
      </c>
      <c r="E51" s="74">
        <v>33</v>
      </c>
      <c r="F51" s="74">
        <v>14</v>
      </c>
      <c r="G51" s="74">
        <v>13</v>
      </c>
      <c r="P51" s="77">
        <v>0</v>
      </c>
    </row>
    <row r="52" spans="1:16" ht="15.75" customHeight="1">
      <c r="A52" s="74" t="s">
        <v>43</v>
      </c>
      <c r="B52" s="78" t="s">
        <v>84</v>
      </c>
      <c r="C52" s="74">
        <v>15</v>
      </c>
      <c r="D52" s="74">
        <v>20</v>
      </c>
      <c r="E52" s="74">
        <v>39</v>
      </c>
      <c r="F52" s="74">
        <v>13</v>
      </c>
      <c r="G52" s="74">
        <v>11</v>
      </c>
      <c r="P52" s="77">
        <v>0</v>
      </c>
    </row>
    <row r="53" spans="1:16" ht="15.75" customHeight="1">
      <c r="A53" s="74" t="s">
        <v>47</v>
      </c>
      <c r="B53" s="78" t="s">
        <v>84</v>
      </c>
      <c r="C53" s="74">
        <v>19</v>
      </c>
      <c r="D53" s="74">
        <v>24</v>
      </c>
      <c r="E53" s="74">
        <v>34</v>
      </c>
      <c r="F53" s="74">
        <v>7</v>
      </c>
      <c r="G53" s="74">
        <v>13</v>
      </c>
      <c r="P53" s="77">
        <v>0</v>
      </c>
    </row>
    <row r="54" spans="1:16" ht="15.75" customHeight="1">
      <c r="A54" s="74" t="s">
        <v>49</v>
      </c>
      <c r="B54" s="78" t="s">
        <v>84</v>
      </c>
      <c r="C54" s="74">
        <v>19</v>
      </c>
      <c r="D54" s="74">
        <v>21</v>
      </c>
      <c r="E54" s="74">
        <v>30</v>
      </c>
      <c r="F54" s="74">
        <v>16</v>
      </c>
      <c r="G54" s="74">
        <v>12</v>
      </c>
      <c r="P54" s="77">
        <v>0</v>
      </c>
    </row>
    <row r="55" spans="1:16" ht="15.75" customHeight="1">
      <c r="A55" s="74" t="s">
        <v>53</v>
      </c>
      <c r="B55" s="78" t="s">
        <v>84</v>
      </c>
      <c r="C55" s="74">
        <v>25</v>
      </c>
      <c r="D55" s="74">
        <v>19</v>
      </c>
      <c r="E55" s="74">
        <v>35</v>
      </c>
      <c r="F55" s="74">
        <v>11</v>
      </c>
      <c r="G55" s="74">
        <v>7</v>
      </c>
      <c r="P55" s="77">
        <v>0</v>
      </c>
    </row>
    <row r="56" spans="1:16" ht="15.75" customHeight="1">
      <c r="A56" s="74" t="s">
        <v>55</v>
      </c>
      <c r="B56" s="78" t="s">
        <v>84</v>
      </c>
      <c r="C56" s="74">
        <v>19</v>
      </c>
      <c r="D56" s="74">
        <v>23</v>
      </c>
      <c r="E56" s="74">
        <v>39</v>
      </c>
      <c r="F56" s="74">
        <v>10</v>
      </c>
      <c r="G56" s="74">
        <v>7</v>
      </c>
      <c r="P56" s="77">
        <v>0</v>
      </c>
    </row>
    <row r="57" spans="1:16" ht="15.75" customHeight="1">
      <c r="A57" s="74" t="s">
        <v>59</v>
      </c>
      <c r="B57" s="78" t="s">
        <v>84</v>
      </c>
      <c r="C57" s="74">
        <v>14</v>
      </c>
      <c r="D57" s="74">
        <v>27</v>
      </c>
      <c r="E57" s="74">
        <v>34</v>
      </c>
      <c r="F57" s="74">
        <v>15</v>
      </c>
      <c r="G57" s="74">
        <v>7</v>
      </c>
      <c r="P57" s="77">
        <v>0</v>
      </c>
    </row>
    <row r="58" spans="1:16" ht="15.75" customHeight="1">
      <c r="A58" s="74" t="s">
        <v>63</v>
      </c>
      <c r="B58" s="78" t="s">
        <v>84</v>
      </c>
      <c r="C58" s="74">
        <v>31</v>
      </c>
      <c r="D58" s="74">
        <v>17</v>
      </c>
      <c r="E58" s="74">
        <v>21</v>
      </c>
      <c r="F58" s="74">
        <v>14</v>
      </c>
      <c r="G58" s="74">
        <v>14</v>
      </c>
      <c r="P58" s="77">
        <v>0</v>
      </c>
    </row>
    <row r="59" spans="1:16" ht="15.75" customHeight="1">
      <c r="A59" s="74" t="s">
        <v>69</v>
      </c>
      <c r="B59" s="78" t="s">
        <v>84</v>
      </c>
      <c r="C59" s="79">
        <v>15</v>
      </c>
      <c r="D59" s="79">
        <v>37</v>
      </c>
      <c r="E59" s="79">
        <v>23</v>
      </c>
      <c r="F59" s="79">
        <v>11</v>
      </c>
      <c r="G59" s="79">
        <v>12</v>
      </c>
      <c r="P59" s="77">
        <v>0</v>
      </c>
    </row>
    <row r="60" spans="1:16" ht="15.75" customHeight="1">
      <c r="A60" s="74" t="s">
        <v>71</v>
      </c>
      <c r="B60" s="78" t="s">
        <v>84</v>
      </c>
      <c r="C60" s="79">
        <v>22</v>
      </c>
      <c r="D60" s="79">
        <v>27</v>
      </c>
      <c r="E60" s="79">
        <v>24</v>
      </c>
      <c r="F60" s="79">
        <v>10</v>
      </c>
      <c r="G60" s="79">
        <v>13</v>
      </c>
      <c r="P60" s="77">
        <v>0</v>
      </c>
    </row>
    <row r="61" spans="1:16" ht="15.75" customHeight="1">
      <c r="A61" s="74" t="s">
        <v>88</v>
      </c>
      <c r="B61" s="78" t="s">
        <v>84</v>
      </c>
      <c r="C61" s="79">
        <v>17</v>
      </c>
      <c r="D61" s="79">
        <v>24</v>
      </c>
      <c r="E61" s="79">
        <v>31</v>
      </c>
      <c r="F61" s="79">
        <v>15</v>
      </c>
      <c r="G61" s="79">
        <v>10</v>
      </c>
      <c r="P61" s="77">
        <v>0</v>
      </c>
    </row>
    <row r="62" spans="1:16" ht="15.75" customHeight="1">
      <c r="A62" s="74" t="s">
        <v>75</v>
      </c>
      <c r="B62" s="78" t="s">
        <v>84</v>
      </c>
      <c r="C62" s="79">
        <v>14</v>
      </c>
      <c r="D62" s="79">
        <v>16</v>
      </c>
      <c r="E62" s="79">
        <v>27</v>
      </c>
      <c r="F62" s="79">
        <v>15</v>
      </c>
      <c r="G62" s="79">
        <v>24</v>
      </c>
      <c r="P62" s="77">
        <v>0</v>
      </c>
    </row>
    <row r="63" spans="1:16" ht="15.75" customHeight="1">
      <c r="A63" s="74" t="s">
        <v>77</v>
      </c>
      <c r="B63" s="78" t="s">
        <v>84</v>
      </c>
      <c r="C63" s="79">
        <v>16</v>
      </c>
      <c r="D63" s="79">
        <v>15</v>
      </c>
      <c r="E63" s="79">
        <v>20</v>
      </c>
      <c r="F63" s="79">
        <v>12</v>
      </c>
      <c r="G63" s="79">
        <v>34</v>
      </c>
      <c r="P63" s="77">
        <v>0</v>
      </c>
    </row>
    <row r="64" spans="1:16" ht="15.75" customHeight="1">
      <c r="A64" s="74" t="s">
        <v>89</v>
      </c>
      <c r="B64" s="78" t="s">
        <v>84</v>
      </c>
      <c r="C64" s="79">
        <v>18</v>
      </c>
      <c r="D64" s="79">
        <v>18</v>
      </c>
      <c r="E64" s="79">
        <v>18</v>
      </c>
      <c r="F64" s="79">
        <v>19</v>
      </c>
      <c r="G64" s="79">
        <v>23</v>
      </c>
      <c r="P64" s="77">
        <v>0</v>
      </c>
    </row>
    <row r="65" spans="1:16" ht="15.75" customHeight="1">
      <c r="A65" s="74" t="s">
        <v>16</v>
      </c>
      <c r="B65" s="75" t="s">
        <v>108</v>
      </c>
      <c r="C65" s="79">
        <v>22</v>
      </c>
      <c r="D65" s="79">
        <v>20</v>
      </c>
      <c r="E65" s="79">
        <v>20</v>
      </c>
      <c r="F65" s="79">
        <v>16</v>
      </c>
      <c r="G65" s="79">
        <v>20</v>
      </c>
      <c r="P65" s="77">
        <v>2</v>
      </c>
    </row>
    <row r="66" spans="1:16" ht="15.75" customHeight="1">
      <c r="A66" s="74" t="s">
        <v>18</v>
      </c>
      <c r="B66" s="75" t="s">
        <v>108</v>
      </c>
      <c r="C66" s="79">
        <v>20</v>
      </c>
      <c r="D66" s="79">
        <v>19</v>
      </c>
      <c r="E66" s="79">
        <v>26</v>
      </c>
      <c r="F66" s="79">
        <v>12</v>
      </c>
      <c r="G66" s="79">
        <v>21</v>
      </c>
      <c r="P66" s="77">
        <v>2</v>
      </c>
    </row>
    <row r="67" spans="1:16" ht="15.75" customHeight="1">
      <c r="A67" s="74" t="s">
        <v>21</v>
      </c>
      <c r="B67" s="75" t="s">
        <v>108</v>
      </c>
      <c r="C67" s="79">
        <v>26</v>
      </c>
      <c r="D67" s="79">
        <v>21</v>
      </c>
      <c r="E67" s="79">
        <v>15</v>
      </c>
      <c r="F67" s="79">
        <v>19</v>
      </c>
      <c r="G67" s="79">
        <v>17</v>
      </c>
      <c r="P67" s="77">
        <v>2</v>
      </c>
    </row>
    <row r="68" spans="1:16" ht="15.75" customHeight="1">
      <c r="A68" s="74" t="s">
        <v>25</v>
      </c>
      <c r="B68" s="75" t="s">
        <v>108</v>
      </c>
      <c r="C68" s="79">
        <v>17</v>
      </c>
      <c r="D68" s="79">
        <v>26</v>
      </c>
      <c r="E68" s="79">
        <v>22</v>
      </c>
      <c r="F68" s="79">
        <v>17</v>
      </c>
      <c r="G68" s="79">
        <v>16</v>
      </c>
      <c r="P68" s="77">
        <v>2</v>
      </c>
    </row>
    <row r="69" spans="1:16" ht="15.75" customHeight="1">
      <c r="A69" s="74" t="s">
        <v>27</v>
      </c>
      <c r="B69" s="75" t="s">
        <v>108</v>
      </c>
      <c r="C69" s="79">
        <v>17</v>
      </c>
      <c r="D69" s="79">
        <v>23</v>
      </c>
      <c r="E69" s="79">
        <v>22</v>
      </c>
      <c r="F69" s="79">
        <v>19</v>
      </c>
      <c r="G69" s="79">
        <v>16</v>
      </c>
      <c r="P69" s="77">
        <v>2</v>
      </c>
    </row>
    <row r="70" spans="1:16" ht="15.75" customHeight="1">
      <c r="A70" s="74" t="s">
        <v>29</v>
      </c>
      <c r="B70" s="75" t="s">
        <v>108</v>
      </c>
      <c r="C70" s="79">
        <v>25</v>
      </c>
      <c r="D70" s="79">
        <v>28</v>
      </c>
      <c r="E70" s="79">
        <v>21</v>
      </c>
      <c r="F70" s="79">
        <v>12</v>
      </c>
      <c r="G70" s="79">
        <v>11</v>
      </c>
      <c r="P70" s="77">
        <v>2</v>
      </c>
    </row>
    <row r="71" spans="1:16" ht="15.75" customHeight="1">
      <c r="A71" s="74" t="s">
        <v>30</v>
      </c>
      <c r="B71" s="75" t="s">
        <v>108</v>
      </c>
      <c r="C71" s="79">
        <v>17</v>
      </c>
      <c r="D71" s="79">
        <v>31</v>
      </c>
      <c r="E71" s="79">
        <v>22</v>
      </c>
      <c r="F71" s="79">
        <v>15</v>
      </c>
      <c r="G71" s="79">
        <v>14</v>
      </c>
      <c r="P71" s="77">
        <v>2</v>
      </c>
    </row>
    <row r="72" spans="1:16" ht="15.75" customHeight="1">
      <c r="A72" s="74" t="s">
        <v>32</v>
      </c>
      <c r="B72" s="75" t="s">
        <v>108</v>
      </c>
      <c r="C72" s="79">
        <v>9</v>
      </c>
      <c r="D72" s="79">
        <v>20</v>
      </c>
      <c r="E72" s="79">
        <v>31</v>
      </c>
      <c r="F72" s="79">
        <v>14</v>
      </c>
      <c r="G72" s="79">
        <v>23</v>
      </c>
      <c r="P72" s="77">
        <v>2</v>
      </c>
    </row>
    <row r="73" spans="1:16" ht="15.75" customHeight="1">
      <c r="A73" s="74" t="s">
        <v>34</v>
      </c>
      <c r="B73" s="75" t="s">
        <v>108</v>
      </c>
      <c r="C73" s="79">
        <v>14</v>
      </c>
      <c r="D73" s="79">
        <v>28</v>
      </c>
      <c r="E73" s="79">
        <v>27</v>
      </c>
      <c r="F73" s="79">
        <v>11</v>
      </c>
      <c r="G73" s="79">
        <v>18</v>
      </c>
      <c r="P73" s="77">
        <v>2</v>
      </c>
    </row>
    <row r="74" spans="1:16" ht="15.75" customHeight="1">
      <c r="A74" s="79" t="s">
        <v>110</v>
      </c>
      <c r="B74" s="80" t="s">
        <v>109</v>
      </c>
      <c r="C74" s="79">
        <v>24</v>
      </c>
      <c r="D74" s="79">
        <v>22</v>
      </c>
      <c r="E74" s="79">
        <v>29</v>
      </c>
      <c r="F74" s="79">
        <v>13</v>
      </c>
      <c r="G74" s="79">
        <v>9</v>
      </c>
      <c r="P74" s="77">
        <v>1</v>
      </c>
    </row>
    <row r="75" spans="1:16" ht="15.75" customHeight="1">
      <c r="A75" s="79" t="s">
        <v>110</v>
      </c>
      <c r="B75" s="80" t="s">
        <v>109</v>
      </c>
      <c r="C75" s="79">
        <v>19</v>
      </c>
      <c r="D75" s="79">
        <v>23</v>
      </c>
      <c r="E75" s="79">
        <v>33</v>
      </c>
      <c r="F75" s="79">
        <v>11</v>
      </c>
      <c r="G75" s="79">
        <v>12</v>
      </c>
      <c r="P75" s="77">
        <v>1</v>
      </c>
    </row>
    <row r="76" spans="1:16" ht="15.75" customHeight="1">
      <c r="A76" s="79" t="s">
        <v>110</v>
      </c>
      <c r="B76" s="80" t="s">
        <v>109</v>
      </c>
      <c r="C76" s="79">
        <v>19</v>
      </c>
      <c r="D76" s="79">
        <v>21</v>
      </c>
      <c r="E76" s="79">
        <v>37</v>
      </c>
      <c r="F76" s="79">
        <v>15</v>
      </c>
      <c r="G76" s="79">
        <v>7</v>
      </c>
      <c r="P76" s="77">
        <v>1</v>
      </c>
    </row>
    <row r="77" spans="1:16" ht="15.75" customHeight="1">
      <c r="A77" s="79" t="s">
        <v>110</v>
      </c>
      <c r="B77" s="80" t="s">
        <v>109</v>
      </c>
      <c r="C77" s="79">
        <v>15</v>
      </c>
      <c r="D77" s="79">
        <v>13</v>
      </c>
      <c r="E77" s="79">
        <v>40</v>
      </c>
      <c r="F77" s="79">
        <v>17</v>
      </c>
      <c r="G77" s="79">
        <v>12</v>
      </c>
      <c r="P77" s="77">
        <v>1</v>
      </c>
    </row>
    <row r="78" spans="1:16" ht="15.75" customHeight="1">
      <c r="A78" s="79" t="s">
        <v>110</v>
      </c>
      <c r="B78" s="80" t="s">
        <v>109</v>
      </c>
      <c r="C78" s="79">
        <v>18</v>
      </c>
      <c r="D78" s="79">
        <v>10</v>
      </c>
      <c r="E78" s="79">
        <v>37</v>
      </c>
      <c r="F78" s="79">
        <v>20</v>
      </c>
      <c r="G78" s="79">
        <v>12</v>
      </c>
      <c r="P78" s="77">
        <v>1</v>
      </c>
    </row>
    <row r="79" spans="1:16" ht="15.75" customHeight="1">
      <c r="A79" s="79" t="s">
        <v>110</v>
      </c>
      <c r="B79" s="80" t="s">
        <v>109</v>
      </c>
      <c r="C79" s="79">
        <v>12</v>
      </c>
      <c r="D79" s="79">
        <v>17</v>
      </c>
      <c r="E79" s="79">
        <v>46</v>
      </c>
      <c r="F79" s="79">
        <v>11</v>
      </c>
      <c r="G79" s="79">
        <v>11</v>
      </c>
      <c r="P79" s="77">
        <v>1</v>
      </c>
    </row>
    <row r="80" spans="1:16" ht="15.75" customHeight="1">
      <c r="A80" s="79" t="s">
        <v>110</v>
      </c>
      <c r="B80" s="80" t="s">
        <v>109</v>
      </c>
      <c r="C80" s="79">
        <v>14</v>
      </c>
      <c r="D80" s="79">
        <v>23</v>
      </c>
      <c r="E80" s="79">
        <v>31</v>
      </c>
      <c r="F80" s="79">
        <v>18</v>
      </c>
      <c r="G80" s="79">
        <v>11</v>
      </c>
      <c r="P80" s="77">
        <v>1</v>
      </c>
    </row>
    <row r="81" spans="1:16" ht="15.75" customHeight="1">
      <c r="A81" s="79" t="s">
        <v>110</v>
      </c>
      <c r="B81" s="80" t="s">
        <v>109</v>
      </c>
      <c r="C81" s="79">
        <v>16</v>
      </c>
      <c r="D81" s="79">
        <v>25</v>
      </c>
      <c r="E81" s="79">
        <v>31</v>
      </c>
      <c r="F81" s="79">
        <v>18</v>
      </c>
      <c r="G81" s="79">
        <v>8</v>
      </c>
      <c r="P81" s="77">
        <v>1</v>
      </c>
    </row>
    <row r="82" spans="1:16" ht="15.75" customHeight="1">
      <c r="A82" s="79" t="s">
        <v>110</v>
      </c>
      <c r="B82" s="80" t="s">
        <v>109</v>
      </c>
      <c r="C82" s="79">
        <v>18</v>
      </c>
      <c r="D82" s="79">
        <v>15</v>
      </c>
      <c r="E82" s="79">
        <v>32</v>
      </c>
      <c r="F82" s="79">
        <v>16</v>
      </c>
      <c r="G82" s="79">
        <v>16</v>
      </c>
      <c r="P82" s="77">
        <v>1</v>
      </c>
    </row>
    <row r="83" spans="1:16" ht="15.75" customHeight="1">
      <c r="A83" s="79" t="s">
        <v>110</v>
      </c>
      <c r="B83" s="80" t="s">
        <v>109</v>
      </c>
      <c r="C83" s="79">
        <v>11</v>
      </c>
      <c r="D83" s="79">
        <v>33</v>
      </c>
      <c r="E83" s="79">
        <v>28</v>
      </c>
      <c r="F83" s="79">
        <v>13</v>
      </c>
      <c r="G83" s="79">
        <v>12</v>
      </c>
      <c r="P83" s="77">
        <v>1</v>
      </c>
    </row>
    <row r="84" spans="1:16" ht="15.75" customHeight="1">
      <c r="A84" s="79" t="s">
        <v>110</v>
      </c>
      <c r="B84" s="80" t="s">
        <v>109</v>
      </c>
      <c r="C84" s="79">
        <v>17</v>
      </c>
      <c r="D84" s="79">
        <v>24</v>
      </c>
      <c r="E84" s="79">
        <v>30</v>
      </c>
      <c r="F84" s="79">
        <v>14</v>
      </c>
      <c r="G84" s="79">
        <v>12</v>
      </c>
      <c r="P84" s="77">
        <v>1</v>
      </c>
    </row>
    <row r="85" spans="1:16" ht="15.75" customHeight="1">
      <c r="A85" s="79" t="s">
        <v>110</v>
      </c>
      <c r="B85" s="80" t="s">
        <v>109</v>
      </c>
      <c r="C85" s="79">
        <v>16</v>
      </c>
      <c r="D85" s="79">
        <v>25</v>
      </c>
      <c r="E85" s="79">
        <v>33</v>
      </c>
      <c r="F85" s="79">
        <v>10</v>
      </c>
      <c r="G85" s="79">
        <v>13</v>
      </c>
      <c r="P85" s="77">
        <v>1</v>
      </c>
    </row>
    <row r="86" spans="1:16" ht="15.75" customHeight="1"/>
    <row r="87" spans="1:16" ht="15.75" customHeight="1"/>
    <row r="88" spans="1:16" ht="15.75" customHeight="1"/>
    <row r="89" spans="1:16" ht="15.75" customHeight="1"/>
    <row r="90" spans="1:16" ht="15.75" customHeight="1"/>
    <row r="91" spans="1:16" ht="15.75" customHeight="1"/>
    <row r="92" spans="1:16" ht="15.75" customHeight="1"/>
    <row r="93" spans="1:16" ht="15.75" customHeight="1"/>
    <row r="94" spans="1:16" ht="15.75" customHeight="1"/>
    <row r="95" spans="1:16" ht="15.75" customHeight="1"/>
    <row r="96" spans="1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ИМЕНА</vt:lpstr>
      <vt:lpstr>БИОХИМИЯ</vt:lpstr>
      <vt:lpstr>ФРАКЦИИ плазма</vt:lpstr>
      <vt:lpstr>ФРАКЦИИ эритр.</vt:lpstr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Насыров Артур Вадимович</cp:lastModifiedBy>
  <dcterms:created xsi:type="dcterms:W3CDTF">2022-04-27T06:55:32Z</dcterms:created>
  <dcterms:modified xsi:type="dcterms:W3CDTF">2026-02-12T14:01:52Z</dcterms:modified>
</cp:coreProperties>
</file>